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wcoop\Documents\HomeMaintenanceApp\spec\meals\"/>
    </mc:Choice>
  </mc:AlternateContent>
  <xr:revisionPtr revIDLastSave="0" documentId="13_ncr:1_{02963D1F-5BC3-40A9-A86C-51F6B2392F42}" xr6:coauthVersionLast="47" xr6:coauthVersionMax="47" xr10:uidLastSave="{00000000-0000-0000-0000-000000000000}"/>
  <bookViews>
    <workbookView xWindow="28680" yWindow="-120" windowWidth="29040" windowHeight="15720" xr2:uid="{00000000-000D-0000-FFFF-FFFF00000000}"/>
  </bookViews>
  <sheets>
    <sheet name="Read Me" sheetId="1" r:id="rId1"/>
    <sheet name="Summary" sheetId="2" r:id="rId2"/>
    <sheet name="Functional Acceptance" sheetId="3" r:id="rId3"/>
    <sheet name="Security Acceptance" sheetId="4" r:id="rId4"/>
    <sheet name="Database Verification" sheetId="5" r:id="rId5"/>
    <sheet name="End-to-End Tests" sheetId="6" r:id="rId6"/>
    <sheet name="Coverage" sheetId="7" r:id="rId7"/>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2" l="1"/>
  <c r="C26" i="2"/>
  <c r="C25" i="2"/>
  <c r="C24" i="2"/>
  <c r="C23" i="2"/>
  <c r="B18" i="2"/>
  <c r="B17" i="2"/>
  <c r="B16" i="2"/>
  <c r="B15" i="2"/>
  <c r="B14" i="2"/>
  <c r="M223" i="7"/>
  <c r="L223" i="7"/>
  <c r="K223" i="7"/>
  <c r="J223" i="7"/>
  <c r="M222" i="7"/>
  <c r="L222" i="7"/>
  <c r="K222" i="7"/>
  <c r="J222" i="7"/>
  <c r="M221" i="7"/>
  <c r="L221" i="7"/>
  <c r="K221" i="7"/>
  <c r="J221" i="7"/>
  <c r="M220" i="7"/>
  <c r="L220" i="7"/>
  <c r="K220" i="7"/>
  <c r="J220" i="7"/>
  <c r="M219" i="7"/>
  <c r="L219" i="7"/>
  <c r="K219" i="7"/>
  <c r="J219" i="7"/>
  <c r="M218" i="7"/>
  <c r="L218" i="7"/>
  <c r="K218" i="7"/>
  <c r="J218" i="7"/>
  <c r="I10" i="2"/>
  <c r="H10" i="2"/>
  <c r="G10" i="2"/>
  <c r="F10" i="2"/>
  <c r="E10" i="2"/>
  <c r="D10" i="2"/>
  <c r="C10" i="2"/>
  <c r="B10" i="2"/>
  <c r="I9" i="2"/>
  <c r="H9" i="2"/>
  <c r="G9" i="2"/>
  <c r="F9" i="2"/>
  <c r="E9" i="2"/>
  <c r="D9" i="2"/>
  <c r="C9" i="2"/>
  <c r="B9" i="2"/>
  <c r="I8" i="2"/>
  <c r="H8" i="2"/>
  <c r="G8" i="2"/>
  <c r="F8" i="2"/>
  <c r="E8" i="2"/>
  <c r="D8" i="2"/>
  <c r="C8" i="2"/>
  <c r="B8" i="2"/>
  <c r="I7" i="2"/>
  <c r="H7" i="2"/>
  <c r="G7" i="2"/>
  <c r="F7" i="2"/>
  <c r="E7" i="2"/>
  <c r="D7" i="2"/>
  <c r="C7" i="2"/>
  <c r="B7" i="2"/>
  <c r="M207" i="7"/>
  <c r="L207" i="7"/>
  <c r="K207" i="7"/>
  <c r="J207" i="7"/>
  <c r="M206" i="7"/>
  <c r="L206" i="7"/>
  <c r="K206" i="7"/>
  <c r="J206" i="7"/>
  <c r="M205" i="7"/>
  <c r="L205" i="7"/>
  <c r="K205" i="7"/>
  <c r="J205" i="7"/>
  <c r="M204" i="7"/>
  <c r="L204" i="7"/>
  <c r="K204" i="7"/>
  <c r="J204" i="7"/>
  <c r="M203" i="7"/>
  <c r="L203" i="7"/>
  <c r="K203" i="7"/>
  <c r="J203" i="7"/>
  <c r="M202" i="7"/>
  <c r="L202" i="7"/>
  <c r="K202" i="7"/>
  <c r="J202" i="7"/>
  <c r="M201" i="7"/>
  <c r="L201" i="7"/>
  <c r="K201" i="7"/>
  <c r="J201" i="7"/>
  <c r="M200" i="7"/>
  <c r="L200" i="7"/>
  <c r="K200" i="7"/>
  <c r="J200" i="7"/>
  <c r="M199" i="7"/>
  <c r="L199" i="7"/>
  <c r="K199" i="7"/>
  <c r="J199" i="7"/>
  <c r="M198" i="7"/>
  <c r="L198" i="7"/>
  <c r="K198" i="7"/>
  <c r="J198" i="7"/>
  <c r="M197" i="7"/>
  <c r="K197" i="7"/>
  <c r="J197" i="7"/>
  <c r="M196" i="7"/>
  <c r="K196" i="7"/>
  <c r="J196" i="7"/>
  <c r="M195" i="7"/>
  <c r="K195" i="7"/>
  <c r="J195" i="7"/>
  <c r="M194" i="7"/>
  <c r="K194" i="7"/>
  <c r="J194" i="7"/>
  <c r="M193" i="7"/>
  <c r="K193" i="7"/>
  <c r="J193" i="7"/>
  <c r="M192" i="7"/>
  <c r="K192" i="7"/>
  <c r="J192" i="7"/>
  <c r="M191" i="7"/>
  <c r="K191" i="7"/>
  <c r="J191" i="7"/>
  <c r="M190" i="7"/>
  <c r="K190" i="7"/>
  <c r="J190" i="7"/>
  <c r="M189" i="7"/>
  <c r="K189" i="7"/>
  <c r="J189" i="7"/>
  <c r="M188" i="7"/>
  <c r="K188" i="7"/>
  <c r="J188" i="7"/>
  <c r="M187" i="7"/>
  <c r="K187" i="7"/>
  <c r="J187" i="7"/>
  <c r="M186" i="7"/>
  <c r="K186" i="7"/>
  <c r="J186" i="7"/>
  <c r="M185" i="7"/>
  <c r="K185" i="7"/>
  <c r="J185" i="7"/>
  <c r="M184" i="7"/>
  <c r="L184" i="7"/>
  <c r="K184" i="7"/>
  <c r="J184" i="7"/>
  <c r="M183" i="7"/>
  <c r="L183" i="7"/>
  <c r="K183" i="7"/>
  <c r="J183" i="7"/>
  <c r="M182" i="7"/>
  <c r="L182" i="7"/>
  <c r="K182" i="7"/>
  <c r="J182" i="7"/>
  <c r="M181" i="7"/>
  <c r="L181" i="7"/>
  <c r="K181" i="7"/>
  <c r="J181" i="7"/>
  <c r="M180" i="7"/>
  <c r="L180" i="7"/>
  <c r="K180" i="7"/>
  <c r="J180" i="7"/>
  <c r="M179" i="7"/>
  <c r="L179" i="7"/>
  <c r="K179" i="7"/>
  <c r="J179" i="7"/>
  <c r="M178" i="7"/>
  <c r="L178" i="7"/>
  <c r="K178" i="7"/>
  <c r="J178" i="7"/>
  <c r="M177" i="7"/>
  <c r="L177" i="7"/>
  <c r="K177" i="7"/>
  <c r="J177" i="7"/>
  <c r="M176" i="7"/>
  <c r="L176" i="7"/>
  <c r="K176" i="7"/>
  <c r="J176" i="7"/>
  <c r="M175" i="7"/>
  <c r="L175" i="7"/>
  <c r="K175" i="7"/>
  <c r="J175" i="7"/>
  <c r="M174" i="7"/>
  <c r="L174" i="7"/>
  <c r="K174" i="7"/>
  <c r="J174" i="7"/>
  <c r="M173" i="7"/>
  <c r="L173" i="7"/>
  <c r="K173" i="7"/>
  <c r="J173" i="7"/>
  <c r="M172" i="7"/>
  <c r="L172" i="7"/>
  <c r="K172" i="7"/>
  <c r="J172" i="7"/>
  <c r="M171" i="7"/>
  <c r="L171" i="7"/>
  <c r="K171" i="7"/>
  <c r="J171" i="7"/>
  <c r="M170" i="7"/>
  <c r="L170" i="7"/>
  <c r="K170" i="7"/>
  <c r="J170" i="7"/>
  <c r="M169" i="7"/>
  <c r="L169" i="7"/>
  <c r="K169" i="7"/>
  <c r="J169" i="7"/>
  <c r="M168" i="7"/>
  <c r="L168" i="7"/>
  <c r="K168" i="7"/>
  <c r="J168" i="7"/>
  <c r="M167" i="7"/>
  <c r="L167" i="7"/>
  <c r="K167" i="7"/>
  <c r="J167" i="7"/>
  <c r="M166" i="7"/>
  <c r="L166" i="7"/>
  <c r="K166" i="7"/>
  <c r="J166" i="7"/>
  <c r="M165" i="7"/>
  <c r="L165" i="7"/>
  <c r="K165" i="7"/>
  <c r="J165" i="7"/>
  <c r="M164" i="7"/>
  <c r="L164" i="7"/>
  <c r="K164" i="7"/>
  <c r="J164" i="7"/>
  <c r="M163" i="7"/>
  <c r="L163" i="7"/>
  <c r="K163" i="7"/>
  <c r="J163" i="7"/>
  <c r="M162" i="7"/>
  <c r="L162" i="7"/>
  <c r="K162" i="7"/>
  <c r="J162" i="7"/>
  <c r="M161" i="7"/>
  <c r="L161" i="7"/>
  <c r="K161" i="7"/>
  <c r="J161" i="7"/>
  <c r="M160" i="7"/>
  <c r="L160" i="7"/>
  <c r="K160" i="7"/>
  <c r="J160" i="7"/>
  <c r="M159" i="7"/>
  <c r="L159" i="7"/>
  <c r="K159" i="7"/>
  <c r="J159" i="7"/>
  <c r="M158" i="7"/>
  <c r="L158" i="7"/>
  <c r="K158" i="7"/>
  <c r="J158" i="7"/>
  <c r="M157" i="7"/>
  <c r="L157" i="7"/>
  <c r="K157" i="7"/>
  <c r="J157" i="7"/>
  <c r="M156" i="7"/>
  <c r="L156" i="7"/>
  <c r="K156" i="7"/>
  <c r="J156" i="7"/>
  <c r="M155" i="7"/>
  <c r="L155" i="7"/>
  <c r="K155" i="7"/>
  <c r="J155" i="7"/>
  <c r="M154" i="7"/>
  <c r="L154" i="7"/>
  <c r="K154" i="7"/>
  <c r="J154" i="7"/>
  <c r="M153" i="7"/>
  <c r="L153" i="7"/>
  <c r="K153" i="7"/>
  <c r="J153" i="7"/>
  <c r="M152" i="7"/>
  <c r="L152" i="7"/>
  <c r="K152" i="7"/>
  <c r="J152" i="7"/>
  <c r="M151" i="7"/>
  <c r="L151" i="7"/>
  <c r="K151" i="7"/>
  <c r="J151" i="7"/>
  <c r="M150" i="7"/>
  <c r="L150" i="7"/>
  <c r="K150" i="7"/>
  <c r="J150" i="7"/>
  <c r="M149" i="7"/>
  <c r="L149" i="7"/>
  <c r="K149" i="7"/>
  <c r="J149" i="7"/>
  <c r="M148" i="7"/>
  <c r="L148" i="7"/>
  <c r="K148" i="7"/>
  <c r="J148" i="7"/>
  <c r="M147" i="7"/>
  <c r="L147" i="7"/>
  <c r="K147" i="7"/>
  <c r="J147" i="7"/>
  <c r="M146" i="7"/>
  <c r="L146" i="7"/>
  <c r="K146" i="7"/>
  <c r="J146" i="7"/>
  <c r="M145" i="7"/>
  <c r="L145" i="7"/>
  <c r="K145" i="7"/>
  <c r="J145" i="7"/>
  <c r="M144" i="7"/>
  <c r="L144" i="7"/>
  <c r="K144" i="7"/>
  <c r="J144" i="7"/>
  <c r="M143" i="7"/>
  <c r="L143" i="7"/>
  <c r="K143" i="7"/>
  <c r="J143" i="7"/>
  <c r="M142" i="7"/>
  <c r="L142" i="7"/>
  <c r="K142" i="7"/>
  <c r="J142" i="7"/>
  <c r="M141" i="7"/>
  <c r="L141" i="7"/>
  <c r="K141" i="7"/>
  <c r="J141" i="7"/>
  <c r="M140" i="7"/>
  <c r="L140" i="7"/>
  <c r="K140" i="7"/>
  <c r="J140" i="7"/>
  <c r="M139" i="7"/>
  <c r="L139" i="7"/>
  <c r="K139" i="7"/>
  <c r="J139" i="7"/>
  <c r="M138" i="7"/>
  <c r="L138" i="7"/>
  <c r="K138" i="7"/>
  <c r="J138" i="7"/>
  <c r="M137" i="7"/>
  <c r="L137" i="7"/>
  <c r="K137" i="7"/>
  <c r="J137" i="7"/>
  <c r="M136" i="7"/>
  <c r="L136" i="7"/>
  <c r="K136" i="7"/>
  <c r="J136" i="7"/>
  <c r="M135" i="7"/>
  <c r="L135" i="7"/>
  <c r="K135" i="7"/>
  <c r="J135" i="7"/>
  <c r="M134" i="7"/>
  <c r="L134" i="7"/>
  <c r="K134" i="7"/>
  <c r="J134" i="7"/>
  <c r="M133" i="7"/>
  <c r="L133" i="7"/>
  <c r="K133" i="7"/>
  <c r="J133" i="7"/>
  <c r="M132" i="7"/>
  <c r="L132" i="7"/>
  <c r="K132" i="7"/>
  <c r="J132" i="7"/>
  <c r="M131" i="7"/>
  <c r="L131" i="7"/>
  <c r="K131" i="7"/>
  <c r="J131" i="7"/>
  <c r="M130" i="7"/>
  <c r="L130" i="7"/>
  <c r="K130" i="7"/>
  <c r="J130" i="7"/>
  <c r="M129" i="7"/>
  <c r="L129" i="7"/>
  <c r="K129" i="7"/>
  <c r="J129" i="7"/>
  <c r="M128" i="7"/>
  <c r="L128" i="7"/>
  <c r="K128" i="7"/>
  <c r="J128" i="7"/>
  <c r="M127" i="7"/>
  <c r="L127" i="7"/>
  <c r="K127" i="7"/>
  <c r="J127" i="7"/>
  <c r="M126" i="7"/>
  <c r="L126" i="7"/>
  <c r="K126" i="7"/>
  <c r="J126" i="7"/>
  <c r="M125" i="7"/>
  <c r="L125" i="7"/>
  <c r="K125" i="7"/>
  <c r="J125" i="7"/>
  <c r="M124" i="7"/>
  <c r="L124" i="7"/>
  <c r="K124" i="7"/>
  <c r="J124" i="7"/>
  <c r="M123" i="7"/>
  <c r="L123" i="7"/>
  <c r="K123" i="7"/>
  <c r="J123" i="7"/>
  <c r="M122" i="7"/>
  <c r="L122" i="7"/>
  <c r="K122" i="7"/>
  <c r="J122" i="7"/>
  <c r="M121" i="7"/>
  <c r="L121" i="7"/>
  <c r="K121" i="7"/>
  <c r="J121" i="7"/>
  <c r="M120" i="7"/>
  <c r="L120" i="7"/>
  <c r="K120" i="7"/>
  <c r="J120" i="7"/>
  <c r="M119" i="7"/>
  <c r="L119" i="7"/>
  <c r="K119" i="7"/>
  <c r="J119" i="7"/>
  <c r="M118" i="7"/>
  <c r="L118" i="7"/>
  <c r="K118" i="7"/>
  <c r="J118" i="7"/>
  <c r="M117" i="7"/>
  <c r="L117" i="7"/>
  <c r="K117" i="7"/>
  <c r="J117" i="7"/>
  <c r="M116" i="7"/>
  <c r="L116" i="7"/>
  <c r="K116" i="7"/>
  <c r="J116" i="7"/>
  <c r="M115" i="7"/>
  <c r="L115" i="7"/>
  <c r="K115" i="7"/>
  <c r="J115" i="7"/>
  <c r="M114" i="7"/>
  <c r="L114" i="7"/>
  <c r="K114" i="7"/>
  <c r="J114" i="7"/>
  <c r="M113" i="7"/>
  <c r="L113" i="7"/>
  <c r="K113" i="7"/>
  <c r="J113" i="7"/>
  <c r="M112" i="7"/>
  <c r="L112" i="7"/>
  <c r="K112" i="7"/>
  <c r="J112" i="7"/>
  <c r="M111" i="7"/>
  <c r="L111" i="7"/>
  <c r="K111" i="7"/>
  <c r="J111" i="7"/>
  <c r="M110" i="7"/>
  <c r="L110" i="7"/>
  <c r="K110" i="7"/>
  <c r="J110" i="7"/>
  <c r="M109" i="7"/>
  <c r="L109" i="7"/>
  <c r="K109" i="7"/>
  <c r="J109" i="7"/>
  <c r="M108" i="7"/>
  <c r="L108" i="7"/>
  <c r="K108" i="7"/>
  <c r="J108" i="7"/>
  <c r="M107" i="7"/>
  <c r="L107" i="7"/>
  <c r="K107" i="7"/>
  <c r="J107" i="7"/>
  <c r="M106" i="7"/>
  <c r="L106" i="7"/>
  <c r="K106" i="7"/>
  <c r="J106" i="7"/>
  <c r="M105" i="7"/>
  <c r="L105" i="7"/>
  <c r="K105" i="7"/>
  <c r="J105" i="7"/>
  <c r="M104" i="7"/>
  <c r="L104" i="7"/>
  <c r="K104" i="7"/>
  <c r="J104" i="7"/>
  <c r="M103" i="7"/>
  <c r="L103" i="7"/>
  <c r="K103" i="7"/>
  <c r="J103" i="7"/>
  <c r="M102" i="7"/>
  <c r="L102" i="7"/>
  <c r="K102" i="7"/>
  <c r="J102" i="7"/>
  <c r="M101" i="7"/>
  <c r="L101" i="7"/>
  <c r="K101" i="7"/>
  <c r="J101" i="7"/>
  <c r="M100" i="7"/>
  <c r="L100" i="7"/>
  <c r="K100" i="7"/>
  <c r="J100" i="7"/>
  <c r="M99" i="7"/>
  <c r="L99" i="7"/>
  <c r="K99" i="7"/>
  <c r="J99" i="7"/>
  <c r="M98" i="7"/>
  <c r="L98" i="7"/>
  <c r="K98" i="7"/>
  <c r="J98" i="7"/>
  <c r="M97" i="7"/>
  <c r="L97" i="7"/>
  <c r="K97" i="7"/>
  <c r="J97" i="7"/>
  <c r="M96" i="7"/>
  <c r="L96" i="7"/>
  <c r="K96" i="7"/>
  <c r="J96" i="7"/>
  <c r="M95" i="7"/>
  <c r="L95" i="7"/>
  <c r="K95" i="7"/>
  <c r="J95" i="7"/>
  <c r="M94" i="7"/>
  <c r="L94" i="7"/>
  <c r="K94" i="7"/>
  <c r="J94" i="7"/>
  <c r="M93" i="7"/>
  <c r="L93" i="7"/>
  <c r="K93" i="7"/>
  <c r="J93" i="7"/>
  <c r="M92" i="7"/>
  <c r="L92" i="7"/>
  <c r="K92" i="7"/>
  <c r="J92" i="7"/>
  <c r="M91" i="7"/>
  <c r="L91" i="7"/>
  <c r="K91" i="7"/>
  <c r="J91" i="7"/>
  <c r="M90" i="7"/>
  <c r="L90" i="7"/>
  <c r="K90" i="7"/>
  <c r="J90" i="7"/>
  <c r="M89" i="7"/>
  <c r="L89" i="7"/>
  <c r="K89" i="7"/>
  <c r="J89" i="7"/>
  <c r="M88" i="7"/>
  <c r="L88" i="7"/>
  <c r="K88" i="7"/>
  <c r="J88" i="7"/>
  <c r="M87" i="7"/>
  <c r="L87" i="7"/>
  <c r="K87" i="7"/>
  <c r="J87" i="7"/>
  <c r="M86" i="7"/>
  <c r="L86" i="7"/>
  <c r="K86" i="7"/>
  <c r="J86" i="7"/>
  <c r="M85" i="7"/>
  <c r="L85" i="7"/>
  <c r="K85" i="7"/>
  <c r="J85" i="7"/>
  <c r="M84" i="7"/>
  <c r="L84" i="7"/>
  <c r="K84" i="7"/>
  <c r="J84" i="7"/>
  <c r="M83" i="7"/>
  <c r="L83" i="7"/>
  <c r="K83" i="7"/>
  <c r="J83" i="7"/>
  <c r="M82" i="7"/>
  <c r="L82" i="7"/>
  <c r="K82" i="7"/>
  <c r="J82" i="7"/>
  <c r="M81" i="7"/>
  <c r="L81" i="7"/>
  <c r="K81" i="7"/>
  <c r="J81" i="7"/>
  <c r="M80" i="7"/>
  <c r="L80" i="7"/>
  <c r="K80" i="7"/>
  <c r="J80" i="7"/>
  <c r="M79" i="7"/>
  <c r="L79" i="7"/>
  <c r="K79" i="7"/>
  <c r="J79" i="7"/>
  <c r="M78" i="7"/>
  <c r="L78" i="7"/>
  <c r="K78" i="7"/>
  <c r="J78" i="7"/>
  <c r="M77" i="7"/>
  <c r="L77" i="7"/>
  <c r="K77" i="7"/>
  <c r="J77" i="7"/>
  <c r="M76" i="7"/>
  <c r="L76" i="7"/>
  <c r="K76" i="7"/>
  <c r="J76" i="7"/>
  <c r="M75" i="7"/>
  <c r="L75" i="7"/>
  <c r="K75" i="7"/>
  <c r="J75" i="7"/>
  <c r="M74" i="7"/>
  <c r="L74" i="7"/>
  <c r="K74" i="7"/>
  <c r="J74" i="7"/>
  <c r="M73" i="7"/>
  <c r="L73" i="7"/>
  <c r="K73" i="7"/>
  <c r="J73" i="7"/>
  <c r="M72" i="7"/>
  <c r="L72" i="7"/>
  <c r="K72" i="7"/>
  <c r="J72" i="7"/>
  <c r="M71" i="7"/>
  <c r="L71" i="7"/>
  <c r="K71" i="7"/>
  <c r="J71" i="7"/>
  <c r="M70" i="7"/>
  <c r="L70" i="7"/>
  <c r="K70" i="7"/>
  <c r="J70" i="7"/>
  <c r="M69" i="7"/>
  <c r="L69" i="7"/>
  <c r="K69" i="7"/>
  <c r="J69" i="7"/>
  <c r="M68" i="7"/>
  <c r="L68" i="7"/>
  <c r="K68" i="7"/>
  <c r="J68" i="7"/>
  <c r="M67" i="7"/>
  <c r="L67" i="7"/>
  <c r="K67" i="7"/>
  <c r="J67" i="7"/>
  <c r="M66" i="7"/>
  <c r="L66" i="7"/>
  <c r="K66" i="7"/>
  <c r="J66" i="7"/>
  <c r="M65" i="7"/>
  <c r="L65" i="7"/>
  <c r="K65" i="7"/>
  <c r="J65" i="7"/>
  <c r="M64" i="7"/>
  <c r="L64" i="7"/>
  <c r="K64" i="7"/>
  <c r="J64" i="7"/>
  <c r="M63" i="7"/>
  <c r="L63" i="7"/>
  <c r="K63" i="7"/>
  <c r="J63" i="7"/>
  <c r="M62" i="7"/>
  <c r="L62" i="7"/>
  <c r="K62" i="7"/>
  <c r="J62" i="7"/>
  <c r="M61" i="7"/>
  <c r="L61" i="7"/>
  <c r="K61" i="7"/>
  <c r="J61" i="7"/>
  <c r="M60" i="7"/>
  <c r="L60" i="7"/>
  <c r="K60" i="7"/>
  <c r="J60" i="7"/>
  <c r="M59" i="7"/>
  <c r="L59" i="7"/>
  <c r="K59" i="7"/>
  <c r="J59" i="7"/>
  <c r="M58" i="7"/>
  <c r="L58" i="7"/>
  <c r="K58" i="7"/>
  <c r="J58" i="7"/>
  <c r="M57" i="7"/>
  <c r="L57" i="7"/>
  <c r="K57" i="7"/>
  <c r="J57" i="7"/>
  <c r="M56" i="7"/>
  <c r="L56" i="7"/>
  <c r="K56" i="7"/>
  <c r="J56" i="7"/>
  <c r="M55" i="7"/>
  <c r="L55" i="7"/>
  <c r="K55" i="7"/>
  <c r="J55" i="7"/>
  <c r="M54" i="7"/>
  <c r="L54" i="7"/>
  <c r="K54" i="7"/>
  <c r="J54" i="7"/>
  <c r="M53" i="7"/>
  <c r="L53" i="7"/>
  <c r="K53" i="7"/>
  <c r="J53" i="7"/>
  <c r="M52" i="7"/>
  <c r="L52" i="7"/>
  <c r="K52" i="7"/>
  <c r="J52" i="7"/>
  <c r="M51" i="7"/>
  <c r="L51" i="7"/>
  <c r="K51" i="7"/>
  <c r="J51" i="7"/>
  <c r="M50" i="7"/>
  <c r="L50" i="7"/>
  <c r="K50" i="7"/>
  <c r="J50" i="7"/>
  <c r="M49" i="7"/>
  <c r="L49" i="7"/>
  <c r="K49" i="7"/>
  <c r="J49" i="7"/>
  <c r="M48" i="7"/>
  <c r="L48" i="7"/>
  <c r="K48" i="7"/>
  <c r="J48" i="7"/>
  <c r="M47" i="7"/>
  <c r="L47" i="7"/>
  <c r="K47" i="7"/>
  <c r="J47" i="7"/>
  <c r="M46" i="7"/>
  <c r="L46" i="7"/>
  <c r="K46" i="7"/>
  <c r="J46" i="7"/>
  <c r="M45" i="7"/>
  <c r="L45" i="7"/>
  <c r="K45" i="7"/>
  <c r="J45" i="7"/>
  <c r="M44" i="7"/>
  <c r="L44" i="7"/>
  <c r="K44" i="7"/>
  <c r="J44" i="7"/>
  <c r="M43" i="7"/>
  <c r="L43" i="7"/>
  <c r="K43" i="7"/>
  <c r="J43" i="7"/>
  <c r="M42" i="7"/>
  <c r="L42" i="7"/>
  <c r="K42" i="7"/>
  <c r="J42" i="7"/>
  <c r="M41" i="7"/>
  <c r="L41" i="7"/>
  <c r="K41" i="7"/>
  <c r="J41" i="7"/>
  <c r="M40" i="7"/>
  <c r="L40" i="7"/>
  <c r="K40" i="7"/>
  <c r="J40" i="7"/>
  <c r="M39" i="7"/>
  <c r="L39" i="7"/>
  <c r="K39" i="7"/>
  <c r="J39" i="7"/>
  <c r="M38" i="7"/>
  <c r="L38" i="7"/>
  <c r="K38" i="7"/>
  <c r="J38" i="7"/>
  <c r="M37" i="7"/>
  <c r="L37" i="7"/>
  <c r="K37" i="7"/>
  <c r="J37" i="7"/>
  <c r="M36" i="7"/>
  <c r="L36" i="7"/>
  <c r="K36" i="7"/>
  <c r="J36" i="7"/>
  <c r="M35" i="7"/>
  <c r="L35" i="7"/>
  <c r="K35" i="7"/>
  <c r="J35" i="7"/>
  <c r="M34" i="7"/>
  <c r="L34" i="7"/>
  <c r="K34" i="7"/>
  <c r="J34" i="7"/>
  <c r="M33" i="7"/>
  <c r="L33" i="7"/>
  <c r="K33" i="7"/>
  <c r="J33" i="7"/>
  <c r="M32" i="7"/>
  <c r="L32" i="7"/>
  <c r="K32" i="7"/>
  <c r="J32" i="7"/>
  <c r="M31" i="7"/>
  <c r="L31" i="7"/>
  <c r="K31" i="7"/>
  <c r="J31" i="7"/>
  <c r="M30" i="7"/>
  <c r="L30" i="7"/>
  <c r="K30" i="7"/>
  <c r="J30" i="7"/>
  <c r="M29" i="7"/>
  <c r="L29" i="7"/>
  <c r="K29" i="7"/>
  <c r="J29" i="7"/>
  <c r="M28" i="7"/>
  <c r="L28" i="7"/>
  <c r="K28" i="7"/>
  <c r="J28" i="7"/>
  <c r="M27" i="7"/>
  <c r="L27" i="7"/>
  <c r="K27" i="7"/>
  <c r="J27" i="7"/>
  <c r="M26" i="7"/>
  <c r="L26" i="7"/>
  <c r="K26" i="7"/>
  <c r="J26" i="7"/>
  <c r="M25" i="7"/>
  <c r="L25" i="7"/>
  <c r="K25" i="7"/>
  <c r="J25" i="7"/>
  <c r="M23" i="7"/>
  <c r="L23" i="7"/>
  <c r="K23" i="7"/>
  <c r="J23" i="7"/>
  <c r="M22" i="7"/>
  <c r="L22" i="7"/>
  <c r="K22" i="7"/>
  <c r="J22" i="7"/>
  <c r="M21" i="7"/>
  <c r="L21" i="7"/>
  <c r="K21" i="7"/>
  <c r="J21" i="7"/>
  <c r="M20" i="7"/>
  <c r="L20" i="7"/>
  <c r="K20" i="7"/>
  <c r="J20" i="7"/>
  <c r="M19" i="7"/>
  <c r="L19" i="7"/>
  <c r="K19" i="7"/>
  <c r="J19" i="7"/>
  <c r="M18" i="7"/>
  <c r="L18" i="7"/>
  <c r="K18" i="7"/>
  <c r="J18" i="7"/>
  <c r="M17" i="7"/>
  <c r="L17" i="7"/>
  <c r="K17" i="7"/>
  <c r="J17" i="7"/>
  <c r="M16" i="7"/>
  <c r="K16" i="7"/>
  <c r="J16" i="7"/>
  <c r="M15" i="7"/>
  <c r="L15" i="7"/>
  <c r="K15" i="7"/>
  <c r="J15" i="7"/>
  <c r="M14" i="7"/>
  <c r="L14" i="7"/>
  <c r="K14" i="7"/>
  <c r="J14" i="7"/>
  <c r="M13" i="7"/>
  <c r="L13" i="7"/>
  <c r="K13" i="7"/>
  <c r="J13" i="7"/>
  <c r="M11" i="7"/>
  <c r="K11" i="7"/>
  <c r="J11" i="7"/>
  <c r="M10" i="7"/>
  <c r="L10" i="7"/>
  <c r="K10" i="7"/>
  <c r="J10" i="7"/>
  <c r="M9" i="7"/>
  <c r="L9" i="7"/>
  <c r="K9" i="7"/>
  <c r="J9" i="7"/>
  <c r="M8" i="7"/>
  <c r="L8" i="7"/>
  <c r="K8" i="7"/>
  <c r="J8" i="7"/>
  <c r="M7" i="7"/>
  <c r="L7" i="7"/>
  <c r="K7" i="7"/>
  <c r="J7" i="7"/>
  <c r="M6" i="7"/>
  <c r="L6" i="7"/>
  <c r="K6" i="7"/>
  <c r="J6" i="7"/>
  <c r="M5" i="7"/>
  <c r="L5" i="7"/>
  <c r="K5" i="7"/>
  <c r="J5" i="7"/>
  <c r="M4" i="7"/>
  <c r="L4" i="7"/>
  <c r="K4" i="7"/>
  <c r="J4" i="7"/>
  <c r="M3" i="7"/>
  <c r="L3" i="7"/>
  <c r="K3" i="7"/>
  <c r="J3" i="7"/>
  <c r="M2" i="7"/>
  <c r="L2" i="7"/>
  <c r="K2" i="7"/>
  <c r="J2" i="7"/>
  <c r="I27" i="2"/>
  <c r="H27" i="2"/>
  <c r="G27" i="2"/>
  <c r="F27" i="2"/>
  <c r="E27" i="2"/>
  <c r="I26" i="2"/>
  <c r="H26" i="2"/>
  <c r="G26" i="2"/>
  <c r="F26" i="2"/>
  <c r="E26" i="2"/>
  <c r="I25" i="2"/>
  <c r="H25" i="2"/>
  <c r="G25" i="2"/>
  <c r="F25" i="2"/>
  <c r="E25" i="2"/>
  <c r="I24" i="2"/>
  <c r="H24" i="2"/>
  <c r="G24" i="2"/>
  <c r="F24" i="2"/>
  <c r="E24" i="2"/>
  <c r="I23" i="2"/>
  <c r="H23" i="2"/>
  <c r="G23" i="2"/>
  <c r="F23" i="2"/>
  <c r="E23" i="2"/>
</calcChain>
</file>

<file path=xl/sharedStrings.xml><?xml version="1.0" encoding="utf-8"?>
<sst xmlns="http://schemas.openxmlformats.org/spreadsheetml/2006/main" count="5134" uniqueCount="1155">
  <si>
    <t>Meals Acceptance Checklist</t>
  </si>
  <si>
    <t>Requirements baseline</t>
  </si>
  <si>
    <t>Meals Module Product &amp; Functional Requirements v0.3</t>
  </si>
  <si>
    <t>Purpose</t>
  </si>
  <si>
    <t>Track functional, end-to-end, security, and database acceptance against stable requirement IDs.</t>
  </si>
  <si>
    <t>Status definitions</t>
  </si>
  <si>
    <t>Not Built</t>
  </si>
  <si>
    <t>Requirement has not yet been implemented.</t>
  </si>
  <si>
    <t>Ready to Test</t>
  </si>
  <si>
    <t>Implementation is available for acceptance testing.</t>
  </si>
  <si>
    <t>Pass</t>
  </si>
  <si>
    <t>Observed result meets the acceptance criterion.</t>
  </si>
  <si>
    <t>Fail</t>
  </si>
  <si>
    <t>Observed result does not meet the criterion.</t>
  </si>
  <si>
    <t>Blocked</t>
  </si>
  <si>
    <t>Testing cannot proceed because of an unresolved dependency or defect.</t>
  </si>
  <si>
    <t>Deferred</t>
  </si>
  <si>
    <t>Explicitly moved out of the current accepted scope/phase.</t>
  </si>
  <si>
    <t>N/A</t>
  </si>
  <si>
    <t>Not applicable to the tested build/platform.</t>
  </si>
  <si>
    <t>Pass with Known Issue</t>
  </si>
  <si>
    <t>Owner explicitly accepts a documented non-critical issue that does not affect security, data integrity, or core functionality.</t>
  </si>
  <si>
    <t>Acceptance authority</t>
  </si>
  <si>
    <t>The application owner provides final product/user acceptance. VS Code Copilot provides technical and automated validation.</t>
  </si>
  <si>
    <t>Security rule</t>
  </si>
  <si>
    <t>Security and data-integrity failures are release blockers and cannot be accepted as Pass with Known Issue.</t>
  </si>
  <si>
    <t>Production rule</t>
  </si>
  <si>
    <t>Production-changing database work requires explicit authorization for the exact migration. Routine development verification is separate.</t>
  </si>
  <si>
    <t>Import rule</t>
  </si>
  <si>
    <t>Recipe Import remains Decision Pending / Technical Investigation and does not block Phase 1.</t>
  </si>
  <si>
    <t>Workbook update ownership</t>
  </si>
  <si>
    <t>VS Code Copilot records objective technical results and moves owner-UAT tests to Ready to Test. The owner records UAT Pass/Fail, Pass with Known Issue approvals, and final phase decisions.</t>
  </si>
  <si>
    <t>Controlled update protocol</t>
  </si>
  <si>
    <t>Follow Acceptance Workbook Update Protocol.md. Modify this workbook in place and preserve formulas, validations, IDs, prior results, and owner notes.</t>
  </si>
  <si>
    <t>Meals Acceptance Summary</t>
  </si>
  <si>
    <t>v0.3</t>
  </si>
  <si>
    <t>Total requirement IDs</t>
  </si>
  <si>
    <t>Worksheet</t>
  </si>
  <si>
    <t>Tests / Checks</t>
  </si>
  <si>
    <t>Pass w/ Issue</t>
  </si>
  <si>
    <t>Ready</t>
  </si>
  <si>
    <t>Functional Acceptance</t>
  </si>
  <si>
    <t>End-to-End Tests</t>
  </si>
  <si>
    <t>Security Acceptance</t>
  </si>
  <si>
    <t>Database Verification</t>
  </si>
  <si>
    <t>Phase</t>
  </si>
  <si>
    <t>Requirement count</t>
  </si>
  <si>
    <t>Notes</t>
  </si>
  <si>
    <t>0</t>
  </si>
  <si>
    <t>Foundation &amp; Security</t>
  </si>
  <si>
    <t>1</t>
  </si>
  <si>
    <t>Recipe Core</t>
  </si>
  <si>
    <t>2</t>
  </si>
  <si>
    <t>Shopping</t>
  </si>
  <si>
    <t>3</t>
  </si>
  <si>
    <t>Planner Integration</t>
  </si>
  <si>
    <t>TBD</t>
  </si>
  <si>
    <t>Recipe Import investigation</t>
  </si>
  <si>
    <t>Scope</t>
  </si>
  <si>
    <t>Requirement Count</t>
  </si>
  <si>
    <t>Required Tests</t>
  </si>
  <si>
    <t>Passed</t>
  </si>
  <si>
    <t>Failed</t>
  </si>
  <si>
    <t>Technical Validation</t>
  </si>
  <si>
    <t>Regression Scope</t>
  </si>
  <si>
    <t>Regression Acceptance</t>
  </si>
  <si>
    <t>Final Decision</t>
  </si>
  <si>
    <t>Accepted Date</t>
  </si>
  <si>
    <t>Owner Notes</t>
  </si>
  <si>
    <t>Phase 0 technical/security/database + E2E-00</t>
  </si>
  <si>
    <t>Not Started</t>
  </si>
  <si>
    <t>Phase 0 auth/navigation after implementation</t>
  </si>
  <si>
    <t>Phase 1 Recipe tests + E2E-01,02,10</t>
  </si>
  <si>
    <t>Phase 0 authentication/navigation</t>
  </si>
  <si>
    <t>Phase 2 Shopping tests + E2E-03,04,11</t>
  </si>
  <si>
    <t>Recipe create/search/detail/favorite</t>
  </si>
  <si>
    <t>Phase 3 Planner tests + E2E-05 through 09</t>
  </si>
  <si>
    <t>Recipe core and Recipe-to-Shopping flow</t>
  </si>
  <si>
    <t>Recipe Import</t>
  </si>
  <si>
    <t>Test Run ID</t>
  </si>
  <si>
    <t>Test ID</t>
  </si>
  <si>
    <t>Requirement ID</t>
  </si>
  <si>
    <t>Feature</t>
  </si>
  <si>
    <t>Type</t>
  </si>
  <si>
    <t>Platform</t>
  </si>
  <si>
    <t>Test Scenario</t>
  </si>
  <si>
    <t>Preconditions</t>
  </si>
  <si>
    <t>Test Steps</t>
  </si>
  <si>
    <t>Expected Result</t>
  </si>
  <si>
    <t>Status</t>
  </si>
  <si>
    <t>Tested Date</t>
  </si>
  <si>
    <t>Defect ID</t>
  </si>
  <si>
    <t>Evidence / Build Reference</t>
  </si>
  <si>
    <t>Defect / Notes</t>
  </si>
  <si>
    <t>NAV-001-T01</t>
  </si>
  <si>
    <t>NAV-001</t>
  </si>
  <si>
    <t>Navigation &amp; Routing</t>
  </si>
  <si>
    <t>UI</t>
  </si>
  <si>
    <t>Both</t>
  </si>
  <si>
    <t>Verify: the main application navigation shall include a top-level item labeled Meals.</t>
  </si>
  <si>
    <t>Authenticated as the designated owner unless the requirement explicitly tests logged-out/non-owner behavior.</t>
  </si>
  <si>
    <t>1. Arrange the stated preconditions.
2. Perform the behavior described by the requirement.
3. Observe persistence/navigation/state changes as applicable.
4. Compare the observed result with Expected Result.</t>
  </si>
  <si>
    <t>The main application navigation shall include a top-level item labeled Meals.</t>
  </si>
  <si>
    <t>NAV-002-T01</t>
  </si>
  <si>
    <t>NAV-002</t>
  </si>
  <si>
    <t>Verify: within Meals, the primary feature navigation shall expose Recipes and Shopping.</t>
  </si>
  <si>
    <t>Within Meals, the primary feature navigation shall expose Recipes and Shopping.</t>
  </si>
  <si>
    <t>NAV-003-T01</t>
  </si>
  <si>
    <t>NAV-003</t>
  </si>
  <si>
    <t>FUNC</t>
  </si>
  <si>
    <t>Verify: meals routes shall use the /meals namespace rather than /cooking.</t>
  </si>
  <si>
    <t>Meals routes shall use the /meals namespace rather than /cooking.</t>
  </si>
  <si>
    <t>NAV-004-T01</t>
  </si>
  <si>
    <t>NAV-004</t>
  </si>
  <si>
    <t>Verify: the Recipe Library route shall be /meals/recipes.</t>
  </si>
  <si>
    <t>The Recipe Library route shall be /meals/recipes.</t>
  </si>
  <si>
    <t>NAV-005-T01</t>
  </si>
  <si>
    <t>NAV-005</t>
  </si>
  <si>
    <t>Verify: the manual Add Recipe route shall be /meals/recipes/new.</t>
  </si>
  <si>
    <t>The manual Add Recipe route shall be /meals/recipes/new.</t>
  </si>
  <si>
    <t>NAV-006-T01</t>
  </si>
  <si>
    <t>NAV-006</t>
  </si>
  <si>
    <t>Verify: recipe Detail shall use a route equivalent to /meals/recipes/:id.</t>
  </si>
  <si>
    <t>Recipe Detail shall use a route equivalent to /meals/recipes/:id.</t>
  </si>
  <si>
    <t>NAV-007-T01</t>
  </si>
  <si>
    <t>NAV-007</t>
  </si>
  <si>
    <t>Verify: shopping shall use /meals/shopping.</t>
  </si>
  <si>
    <t>Shopping shall use /meals/shopping.</t>
  </si>
  <si>
    <t>NAV-009-T01</t>
  </si>
  <si>
    <t>NAV-009</t>
  </si>
  <si>
    <t>Verify: navigating to /meals shall redirect to /meals/recipes.</t>
  </si>
  <si>
    <t>Navigating to /meals shall redirect to /meals/recipes.</t>
  </si>
  <si>
    <t>RL-UI-001-T01-D</t>
  </si>
  <si>
    <t>RL-UI-001</t>
  </si>
  <si>
    <t>Recipe Library</t>
  </si>
  <si>
    <t>Desktop</t>
  </si>
  <si>
    <t>Verify: the Recipe Library shall be text-oriented and shall not display recipe thumbnails.</t>
  </si>
  <si>
    <t>Authenticated as the designated owner; required baseline Meals data exists unless the test is specifically for an empty state.</t>
  </si>
  <si>
    <t>1. Open the applicable feature at a supported desktop width.
2. Perform the behavior described by the requirement.
3. Compare the observed result with Expected Result.</t>
  </si>
  <si>
    <t>The Recipe Library shall be text-oriented and shall not display recipe thumbnails.</t>
  </si>
  <si>
    <t>RL-UI-001-T01-M</t>
  </si>
  <si>
    <t>Mobile</t>
  </si>
  <si>
    <t>1. Open the applicable feature at a supported mobile/Capacitor width.
2. Perform the behavior described by the requirement using touch-sized controls.
3. Compare the observed result with Expected Result.</t>
  </si>
  <si>
    <t>RL-UI-002-T01</t>
  </si>
  <si>
    <t>RL-UI-002</t>
  </si>
  <si>
    <t>Verify: desktop shall display compact recipe rows with selection, Favorite, Name, Category, Cuisine, and Source.</t>
  </si>
  <si>
    <t>Desktop shall display compact recipe rows with selection, Favorite, Name, Category, Cuisine, and Source.</t>
  </si>
  <si>
    <t>RL-UI-003-T01</t>
  </si>
  <si>
    <t>RL-UI-003</t>
  </si>
  <si>
    <t>Verify: mobile shall display compact recipe rows with a Favorite control and concise classification information without a desktop-style data table.</t>
  </si>
  <si>
    <t>Mobile shall display compact recipe rows with a Favorite control and concise classification information without a desktop-style data table.</t>
  </si>
  <si>
    <t>RL-FUNC-001-T01</t>
  </si>
  <si>
    <t>RL-FUNC-001</t>
  </si>
  <si>
    <t>Verify: the Recipe Library shall provide a prominently available text search box.</t>
  </si>
  <si>
    <t>The Recipe Library shall provide a prominently available text search box.</t>
  </si>
  <si>
    <t>RL-FUNC-002-T01</t>
  </si>
  <si>
    <t>RL-FUNC-002</t>
  </si>
  <si>
    <t>Verify: recipe title search shall use case-insensitive substring matching.</t>
  </si>
  <si>
    <t>1. Create Recipes whose titles include mixed-case target text and near-matches.
2. Search using a lowercase substring.
3. Repeat using uppercase/mixed case.
4. Confirm every and only title substring match is returned.</t>
  </si>
  <si>
    <t>Recipe title search shall use case-insensitive substring matching.</t>
  </si>
  <si>
    <t>RL-FUNC-003-T01</t>
  </si>
  <si>
    <t>RL-FUNC-003</t>
  </si>
  <si>
    <t>Verify: ingredient search shall use case-insensitive substring matching against stored ingredient text.</t>
  </si>
  <si>
    <t>1. Create Recipes with a distinctive ingredient line not present in their titles.
2. Search using a substring from that ingredient in different letter case.
3. Confirm matching Recipes are returned and unrelated Recipes are not.</t>
  </si>
  <si>
    <t>Ingredient search shall use case-insensitive substring matching against stored ingredient text.</t>
  </si>
  <si>
    <t>RL-FUNC-004-T01</t>
  </si>
  <si>
    <t>RL-FUNC-004</t>
  </si>
  <si>
    <t>Verify: the Recipe Library shall filter by Category.</t>
  </si>
  <si>
    <t>The Recipe Library shall filter by Category.</t>
  </si>
  <si>
    <t>RL-FUNC-005-T01</t>
  </si>
  <si>
    <t>RL-FUNC-005</t>
  </si>
  <si>
    <t>Verify: the Recipe Library shall filter by Cuisine.</t>
  </si>
  <si>
    <t>The Recipe Library shall filter by Cuisine.</t>
  </si>
  <si>
    <t>RL-FUNC-006-T01</t>
  </si>
  <si>
    <t>RL-FUNC-006</t>
  </si>
  <si>
    <t>Verify: the Recipe Library shall filter to Favorites.</t>
  </si>
  <si>
    <t>The Recipe Library shall filter to Favorites.</t>
  </si>
  <si>
    <t>RL-FUNC-007-T01</t>
  </si>
  <si>
    <t>RL-FUNC-007</t>
  </si>
  <si>
    <t>Verify: desktop Name, Category, Cuisine, and Source columns shall support ascending/descending sorting from their column headers.</t>
  </si>
  <si>
    <t>Desktop Name, Category, Cuisine, and Source columns shall support ascending/descending sorting from their column headers.</t>
  </si>
  <si>
    <t>RL-FUNC-008-T01</t>
  </si>
  <si>
    <t>RL-FUNC-008</t>
  </si>
  <si>
    <t>Verify: mobile shall not display a separate A-Z sort control.</t>
  </si>
  <si>
    <t>Mobile shall not display a separate A-Z sort control.</t>
  </si>
  <si>
    <t>RL-FUNC-009-T01-D</t>
  </si>
  <si>
    <t>RL-FUNC-009</t>
  </si>
  <si>
    <t>Verify: activating the Favorite star shall toggle Favorite state in place without opening Recipe Detail or navigating away from the library.</t>
  </si>
  <si>
    <t>1. Open Recipe Library.
2. Record one Recipe Favorite state.
3. Select only the star control.
4. Confirm the star changes without opening Recipe Detail.
5. Refresh and confirm persistence.</t>
  </si>
  <si>
    <t>Activating the Favorite star shall toggle Favorite state in place without opening Recipe Detail or navigating away from the library.</t>
  </si>
  <si>
    <t>RL-FUNC-009-T01-M</t>
  </si>
  <si>
    <t>RL-FUNC-010-T01</t>
  </si>
  <si>
    <t>RL-FUNC-010</t>
  </si>
  <si>
    <t>Verify: activating the recipe row outside the Favorite control shall open Recipe Detail.</t>
  </si>
  <si>
    <t>Activating the recipe row outside the Favorite control shall open Recipe Detail.</t>
  </si>
  <si>
    <t>RL-FUNC-011-T01</t>
  </si>
  <si>
    <t>RL-FUNC-011</t>
  </si>
  <si>
    <t>Verify: the library shall support multi-select for management actions.</t>
  </si>
  <si>
    <t>The library shall support multi-select for management actions.</t>
  </si>
  <si>
    <t>RL-FUNC-012-T01</t>
  </si>
  <si>
    <t>RL-FUNC-012</t>
  </si>
  <si>
    <t>Verify: delete shall remain available for multiple selected recipes.</t>
  </si>
  <si>
    <t>Delete shall remain available for multiple selected recipes.</t>
  </si>
  <si>
    <t>RL-FUNC-013-T01</t>
  </si>
  <si>
    <t>RL-FUNC-013</t>
  </si>
  <si>
    <t>Verify: add to Shopping List shall be enabled when exactly one recipe is selected.</t>
  </si>
  <si>
    <t>Add to Shopping List shall be enabled when exactly one recipe is selected.</t>
  </si>
  <si>
    <t>RL-FUNC-014-T01</t>
  </si>
  <si>
    <t>RL-FUNC-014</t>
  </si>
  <si>
    <t>Verify: add to Shopping List shall be disabled when zero recipes or more than one recipe are selected.</t>
  </si>
  <si>
    <t>Add to Shopping List shall be disabled when zero recipes or more than one recipe are selected.</t>
  </si>
  <si>
    <t>RL-FUNC-015-T01</t>
  </si>
  <si>
    <t>RL-FUNC-015</t>
  </si>
  <si>
    <t>Verify: multi-recipe Add to Shopping List shall not be supported.</t>
  </si>
  <si>
    <t>Multi-recipe Add to Shopping List shall not be supported.</t>
  </si>
  <si>
    <t>RL-FUNC-016-T01</t>
  </si>
  <si>
    <t>RL-FUNC-016</t>
  </si>
  <si>
    <t>Verify: desktop shall provide Add Recipe and, if import is approved, Import Recipe entry actions.</t>
  </si>
  <si>
    <t>Desktop shall provide Add Recipe and, if import is approved, Import Recipe entry actions.</t>
  </si>
  <si>
    <t>RL-FUNC-017-T01</t>
  </si>
  <si>
    <t>RL-FUNC-017</t>
  </si>
  <si>
    <t>Verify: mobile shall use one + Add entry action that offers Create manually and, only if import is approved, Import from URL.</t>
  </si>
  <si>
    <t>Mobile shall use one + Add entry action that offers Create manually and, only if import is approved, Import from URL.</t>
  </si>
  <si>
    <t>RL-FUNC-018-T01</t>
  </si>
  <si>
    <t>RL-FUNC-018</t>
  </si>
  <si>
    <t>Verify: search plus active Category, Cuisine, and Favorites filters shall combine using AND logic; a Recipe must satisfy every active criterion.</t>
  </si>
  <si>
    <t>1. Prepare Recipes spanning Categories, Cuisines, Favorite states, titles and ingredients.
2. Apply search, Category, Cuisine and Favorites together.
3. Confirm every result satisfies all active criteria.
4. Remove one criterion and confirm results expand appropriately.</t>
  </si>
  <si>
    <t>Search plus active Category, Cuisine, and Favorites filters shall combine using AND logic; a Recipe must satisfy every active criterion.</t>
  </si>
  <si>
    <t>RL-FUNC-019-T01</t>
  </si>
  <si>
    <t>RL-FUNC-019</t>
  </si>
  <si>
    <t>Verify: deleting one or more Recipes shall require explicit confirmation before deletion.</t>
  </si>
  <si>
    <t>Deleting one or more Recipes shall require explicit confirmation before deletion.</t>
  </si>
  <si>
    <t>RL-STATE-001-T01</t>
  </si>
  <si>
    <t>RL-STATE-001</t>
  </si>
  <si>
    <t>STATE</t>
  </si>
  <si>
    <t>Verify: a Recipe Library with no Recipes shall present a true empty state with an Add Recipe action.</t>
  </si>
  <si>
    <t>A Recipe Library with no Recipes shall present a true empty state with an Add Recipe action.</t>
  </si>
  <si>
    <t>RL-STATE-002-T01</t>
  </si>
  <si>
    <t>RL-STATE-002</t>
  </si>
  <si>
    <t>Verify: a non-empty library with zero search/filter matches shall state that no Recipes match the current criteria and shall offer an appropriate way to clear the search/filters.</t>
  </si>
  <si>
    <t>A non-empty library with zero search/filter matches shall state that no Recipes match the current criteria and shall offer an appropriate way to clear the search/filters.</t>
  </si>
  <si>
    <t>RL-FUNC-020-T01</t>
  </si>
  <si>
    <t>RL-FUNC-020</t>
  </si>
  <si>
    <t>Verify: when deleting a Recipe that has scheduled meal occurrences, the delete confirmation shall state that those scheduled entries will remain in Planner as editable plain text. If no scheduled occurrences exist, the ordinary Recipe-delete confirmation may be used.</t>
  </si>
  <si>
    <t>When deleting a Recipe that has scheduled meal occurrences, the delete confirmation shall state that those scheduled entries will remain in Planner as editable plain text. If no scheduled occurrences exist, the ordinary Recipe-delete confirmation may be used.</t>
  </si>
  <si>
    <t>RD-UI-001-T01-D</t>
  </si>
  <si>
    <t>RD-UI-001</t>
  </si>
  <si>
    <t>Recipe Detail</t>
  </si>
  <si>
    <t>Verify: recipe Detail shall be a single scrolling page and shall not use content tabs.</t>
  </si>
  <si>
    <t>Recipe Detail shall be a single scrolling page and shall not use content tabs.</t>
  </si>
  <si>
    <t>RD-UI-001-T01-M</t>
  </si>
  <si>
    <t>RD-UI-002-T01</t>
  </si>
  <si>
    <t>RD-UI-002</t>
  </si>
  <si>
    <t>Verify: recipe Detail shall display Title, Category, Cuisine, optional Source, and Favorite state. If Source contains a valid URL value, that Source shall be rendered as a clickable link; otherwise Source shall be displayed as ordinary text.</t>
  </si>
  <si>
    <t>Recipe Detail shall display Title, Category, Cuisine, optional Source, and Favorite state. If Source contains a valid URL value, that Source shall be rendered as a clickable link; otherwise Source shall be displayed as ordinary text.</t>
  </si>
  <si>
    <t>RD-UI-003-T01</t>
  </si>
  <si>
    <t>RD-UI-003</t>
  </si>
  <si>
    <t>Verify: ingredients shall be displayed in named sections in the order stored for the recipe.</t>
  </si>
  <si>
    <t>Ingredients shall be displayed in named sections in the order stored for the recipe.</t>
  </si>
  <si>
    <t>RD-UI-004-T01</t>
  </si>
  <si>
    <t>RD-UI-004</t>
  </si>
  <si>
    <t>Verify: instructions shall appear as a standard instructions section after ingredient content.</t>
  </si>
  <si>
    <t>Instructions shall appear as a standard instructions section after ingredient content.</t>
  </si>
  <si>
    <t>RD-FUNC-001-T01</t>
  </si>
  <si>
    <t>RD-FUNC-001</t>
  </si>
  <si>
    <t>Verify: recipe Detail shall provide Add to Shopping List.</t>
  </si>
  <si>
    <t>Recipe Detail shall provide Add to Shopping List.</t>
  </si>
  <si>
    <t>RD-FUNC-002-T01</t>
  </si>
  <si>
    <t>RD-FUNC-002</t>
  </si>
  <si>
    <t>Verify: recipe Detail shall provide Plan Meal.</t>
  </si>
  <si>
    <t>Recipe Detail shall provide Plan Meal.</t>
  </si>
  <si>
    <t>RD-FUNC-003-T01</t>
  </si>
  <si>
    <t>RD-FUNC-003</t>
  </si>
  <si>
    <t>Verify: recipe Detail Favorite/Unfavorite shall persist immediately without entering Edit mode or requiring a separate Save.</t>
  </si>
  <si>
    <t>Recipe Detail Favorite/Unfavorite shall persist immediately without entering Edit mode or requiring a separate Save.</t>
  </si>
  <si>
    <t>RD-FUNC-004-T01</t>
  </si>
  <si>
    <t>RD-FUNC-004</t>
  </si>
  <si>
    <t>Verify: recipe Detail shall provide Edit.</t>
  </si>
  <si>
    <t>Recipe Detail shall provide Edit.</t>
  </si>
  <si>
    <t>RD-FUNC-005-T01</t>
  </si>
  <si>
    <t>RD-FUNC-005</t>
  </si>
  <si>
    <t>Verify: recipe Detail shall provide Delete.</t>
  </si>
  <si>
    <t>Recipe Detail shall provide Delete.</t>
  </si>
  <si>
    <t>RD-UI-005-T01</t>
  </si>
  <si>
    <t>RD-UI-005</t>
  </si>
  <si>
    <t>Verify: mobile shall keep Add to Shopping List, Plan Meal, and Edit directly available and may place Favorite/Unfavorite and Delete in an overflow menu.</t>
  </si>
  <si>
    <t>Mobile shall keep Add to Shopping List, Plan Meal, and Edit directly available and may place Favorite/Unfavorite and Delete in an overflow menu.</t>
  </si>
  <si>
    <t>RD-STATE-001-T01</t>
  </si>
  <si>
    <t>RD-STATE-001</t>
  </si>
  <si>
    <t>Verify: after successfully adding Recipe ingredients to Shopping, Recipe Detail shall remain open and show confirmation; the confirmation may offer View Shopping List but shall not automatically navigate.</t>
  </si>
  <si>
    <t>After successfully adding Recipe ingredients to Shopping, Recipe Detail shall remain open and show confirmation; the confirmation may offer View Shopping List but shall not automatically navigate.</t>
  </si>
  <si>
    <t>RD-STATE-002-T01</t>
  </si>
  <si>
    <t>RD-STATE-002</t>
  </si>
  <si>
    <t>Verify: after successfully planning a Recipe, Recipe Detail shall remain open and show confirmation identifying the scheduled date/meal; the confirmation may offer View in Planner but shall not automatically navigate.</t>
  </si>
  <si>
    <t>After successfully planning a Recipe, Recipe Detail shall remain open and show confirmation identifying the scheduled date/meal; the confirmation may offer View in Planner but shall not automatically navigate.</t>
  </si>
  <si>
    <t>RE-UI-001-T01</t>
  </si>
  <si>
    <t>RE-UI-001</t>
  </si>
  <si>
    <t>Recipe Editor</t>
  </si>
  <si>
    <t>Verify: manual Add and Edit shall use the same core Recipe Editor model.</t>
  </si>
  <si>
    <t>Manual Add and Edit shall use the same core Recipe Editor model.</t>
  </si>
  <si>
    <t>RE-DATA-001-T01</t>
  </si>
  <si>
    <t>RE-DATA-001</t>
  </si>
  <si>
    <t>DATA</t>
  </si>
  <si>
    <t>Verify: a Recipe shall support Title.</t>
  </si>
  <si>
    <t>A Recipe shall support Title.</t>
  </si>
  <si>
    <t>RE-DATA-002-T01</t>
  </si>
  <si>
    <t>RE-DATA-002</t>
  </si>
  <si>
    <t>Verify: a Recipe shall support Category.</t>
  </si>
  <si>
    <t>A Recipe shall support Category.</t>
  </si>
  <si>
    <t>RE-DATA-003-T01</t>
  </si>
  <si>
    <t>RE-DATA-003</t>
  </si>
  <si>
    <t>Verify: a Recipe shall support Cuisine.</t>
  </si>
  <si>
    <t>A Recipe shall support Cuisine.</t>
  </si>
  <si>
    <t>RE-DATA-004-T01</t>
  </si>
  <si>
    <t>RE-DATA-004</t>
  </si>
  <si>
    <t>Verify: a Recipe shall support one optional Source text value; URL values are allowed within the same field.</t>
  </si>
  <si>
    <t>A Recipe shall support one optional Source text value; URL values are allowed within the same field.</t>
  </si>
  <si>
    <t>RE-DATA-005-T01</t>
  </si>
  <si>
    <t>RE-DATA-005</t>
  </si>
  <si>
    <t>Verify: a Recipe shall support Favorite state.</t>
  </si>
  <si>
    <t>A Recipe shall support Favorite state.</t>
  </si>
  <si>
    <t>RE-FUNC-001-T01</t>
  </si>
  <si>
    <t>RE-FUNC-001</t>
  </si>
  <si>
    <t>Verify: category shall allow selection of an existing value.</t>
  </si>
  <si>
    <t>Category shall allow selection of an existing value.</t>
  </si>
  <si>
    <t>RE-FUNC-002-T01</t>
  </si>
  <si>
    <t>RE-FUNC-002</t>
  </si>
  <si>
    <t>Verify: category shall allow a new value to be created on the fly and made available for subsequent recipes.</t>
  </si>
  <si>
    <t>Category shall allow a new value to be created on the fly and made available for subsequent recipes.</t>
  </si>
  <si>
    <t>RE-FUNC-003-T01</t>
  </si>
  <si>
    <t>RE-FUNC-003</t>
  </si>
  <si>
    <t>Verify: cuisine shall allow selection of an existing value.</t>
  </si>
  <si>
    <t>Cuisine shall allow selection of an existing value.</t>
  </si>
  <si>
    <t>RE-FUNC-004-T01</t>
  </si>
  <si>
    <t>RE-FUNC-004</t>
  </si>
  <si>
    <t>Verify: cuisine shall allow a new value to be created on the fly and made available for subsequent recipes.</t>
  </si>
  <si>
    <t>Cuisine shall allow a new value to be created on the fly and made available for subsequent recipes.</t>
  </si>
  <si>
    <t>RE-DATA-006-T01</t>
  </si>
  <si>
    <t>RE-DATA-006</t>
  </si>
  <si>
    <t>Verify: a Recipe shall support multiple named ingredient sections.</t>
  </si>
  <si>
    <t>A Recipe shall support multiple named ingredient sections.</t>
  </si>
  <si>
    <t>RE-FUNC-005-T01</t>
  </si>
  <si>
    <t>RE-FUNC-005</t>
  </si>
  <si>
    <t>Verify: each ingredient section shall provide an editable section name and one multiline ingredient text block.</t>
  </si>
  <si>
    <t>Each ingredient section shall provide an editable section name and one multiline ingredient text block.</t>
  </si>
  <si>
    <t>RE-FUNC-006-T01</t>
  </si>
  <si>
    <t>RE-FUNC-006</t>
  </si>
  <si>
    <t>Verify: ingredient entry shall support pasting a complete multiline block with one ingredient per line. Stored/displayed text shall preserve the entered block, including blank lines; blank lines shall be ignored when generating Shopping checklist items.</t>
  </si>
  <si>
    <t>1. Open Add Recipe.
2. Paste a multiline ingredient block containing blank lines.
3. Save and reopen the Recipe.
4. Confirm entered text/blank lines are preserved.
5. Open Add to Shopping and confirm blank lines do not become items.</t>
  </si>
  <si>
    <t>Ingredient entry shall support pasting a complete multiline block with one ingredient per line. Stored/displayed text shall preserve the entered block, including blank lines; blank lines shall be ignored when generating Shopping checklist items.</t>
  </si>
  <si>
    <t>RE-FUNC-007-T01</t>
  </si>
  <si>
    <t>RE-FUNC-007</t>
  </si>
  <si>
    <t>Verify: the user shall be able to add an ingredient section.</t>
  </si>
  <si>
    <t>The user shall be able to add an ingredient section.</t>
  </si>
  <si>
    <t>RE-FUNC-008-T01</t>
  </si>
  <si>
    <t>RE-FUNC-008</t>
  </si>
  <si>
    <t>Verify: the user shall be able to remove an ingredient section.</t>
  </si>
  <si>
    <t>The user shall be able to remove an ingredient section.</t>
  </si>
  <si>
    <t>RE-DATA-007-T01</t>
  </si>
  <si>
    <t>RE-DATA-007</t>
  </si>
  <si>
    <t>Verify: a Recipe shall support one multiline Instructions text block whose entered formatting/text is preserved rather than parsed into structured instruction-step records.</t>
  </si>
  <si>
    <t>A Recipe shall support one multiline Instructions text block whose entered formatting/text is preserved rather than parsed into structured instruction-step records.</t>
  </si>
  <si>
    <t>RE-FUNC-009-T01-D</t>
  </si>
  <si>
    <t>RE-FUNC-009</t>
  </si>
  <si>
    <t>Verify: the editor shall provide Save and Cancel actions.</t>
  </si>
  <si>
    <t>The editor shall provide Save and Cancel actions.</t>
  </si>
  <si>
    <t>RE-FUNC-009-T01-M</t>
  </si>
  <si>
    <t>RE-FUNC-010-T01</t>
  </si>
  <si>
    <t>RE-FUNC-010</t>
  </si>
  <si>
    <t>Verify: editing an existing recipe shall load its current values into the Recipe Editor.</t>
  </si>
  <si>
    <t>Editing an existing recipe shall load its current values into the Recipe Editor.</t>
  </si>
  <si>
    <t>RE-VAL-001-T01</t>
  </si>
  <si>
    <t>RE-VAL-001</t>
  </si>
  <si>
    <t>VAL</t>
  </si>
  <si>
    <t>Verify: recipe Title shall be the only required Recipe field. Category, Cuisine, Source, Favorite, Ingredients, and Instructions may be empty.</t>
  </si>
  <si>
    <t>Recipe Title shall be the only required Recipe field. Category, Cuisine, Source, Favorite, Ingredients, and Instructions may be empty.</t>
  </si>
  <si>
    <t>RE-FUNC-011-T01</t>
  </si>
  <si>
    <t>RE-FUNC-011</t>
  </si>
  <si>
    <t>Verify: a new Recipe shall begin with one default ingredient section named Ingredients; the section name may be renamed.</t>
  </si>
  <si>
    <t>A new Recipe shall begin with one default ingredient section named Ingredients; the section name may be renamed.</t>
  </si>
  <si>
    <t>RE-FUNC-012-T01</t>
  </si>
  <si>
    <t>RE-FUNC-012</t>
  </si>
  <si>
    <t>Verify: save failures shall keep the user in the editor, preserve entered values, clearly state that the Recipe was not saved, and permit retry.</t>
  </si>
  <si>
    <t>1. Enter a Recipe with unsaved values.
2. Simulate or trigger a failed save in the test environment.
3. Confirm the editor remains open, values remain intact, failure is clear, and Save can be retried.</t>
  </si>
  <si>
    <t>Save failures shall keep the user in the editor, preserve entered values, clearly state that the Recipe was not saved, and permit retry.</t>
  </si>
  <si>
    <t>RE-FUNC-013-T01</t>
  </si>
  <si>
    <t>RE-FUNC-013</t>
  </si>
  <si>
    <t>Verify: if the Recipe Editor has unsaved changes, navigating away shall request confirmation to discard the changes.</t>
  </si>
  <si>
    <t>1. Edit a Recipe.
2. Change at least one field without saving.
3. Attempt navigation away.
4. Confirm discard warning appears.
5. Choose Stay and verify data remains.
6. Repeat and choose Discard.</t>
  </si>
  <si>
    <t>If the Recipe Editor has unsaved changes, navigating away shall request confirmation to discard the changes.</t>
  </si>
  <si>
    <t>RE-FUNC-014-T01</t>
  </si>
  <si>
    <t>RE-FUNC-014</t>
  </si>
  <si>
    <t>Verify: category values shall support rename. Deletion of a Category value shall be blocked while any Recipe references it.</t>
  </si>
  <si>
    <t>Category values shall support rename. Deletion of a Category value shall be blocked while any Recipe references it.</t>
  </si>
  <si>
    <t>RE-FUNC-015-T01</t>
  </si>
  <si>
    <t>RE-FUNC-015</t>
  </si>
  <si>
    <t>Verify: cuisine values shall support rename. Deletion of a Cuisine value shall be blocked while any Recipe references it.</t>
  </si>
  <si>
    <t>Cuisine values shall support rename. Deletion of a Cuisine value shall be blocked while any Recipe references it.</t>
  </si>
  <si>
    <t>ASL-UI-001-T01</t>
  </si>
  <si>
    <t>ASL-UI-001</t>
  </si>
  <si>
    <t>Add to Shopping List</t>
  </si>
  <si>
    <t>Verify: from Recipe Detail, Add to Shopping List shall open an ingredient-selection modal.</t>
  </si>
  <si>
    <t>From Recipe Detail, Add to Shopping List shall open an ingredient-selection modal.</t>
  </si>
  <si>
    <t>ASL-UI-002-T01</t>
  </si>
  <si>
    <t>ASL-UI-002</t>
  </si>
  <si>
    <t>Verify: from Recipe Detail, Add to Shopping List shall open an ingredient-selection bottom sheet or equivalent mobile surface.</t>
  </si>
  <si>
    <t>From Recipe Detail, Add to Shopping List shall open an ingredient-selection bottom sheet or equivalent mobile surface.</t>
  </si>
  <si>
    <t>ASL-FUNC-001-T01</t>
  </si>
  <si>
    <t>ASL-FUNC-001</t>
  </si>
  <si>
    <t>Verify: the ingredient-selection interface shall represent exactly one recipe.</t>
  </si>
  <si>
    <t>The ingredient-selection interface shall represent exactly one recipe.</t>
  </si>
  <si>
    <t>ASL-FUNC-002-T01</t>
  </si>
  <si>
    <t>ASL-FUNC-002</t>
  </si>
  <si>
    <t>Verify: ingredients shall remain grouped according to the recipe ingredient sections.</t>
  </si>
  <si>
    <t>Ingredients shall remain grouped according to the recipe ingredient sections.</t>
  </si>
  <si>
    <t>ASL-FUNC-003-T01</t>
  </si>
  <si>
    <t>ASL-FUNC-003</t>
  </si>
  <si>
    <t>Verify: each ingredient line shall have an independent selection control.</t>
  </si>
  <si>
    <t>Each ingredient line shall have an independent selection control.</t>
  </si>
  <si>
    <t>ASL-FUNC-004-T01</t>
  </si>
  <si>
    <t>ASL-FUNC-004</t>
  </si>
  <si>
    <t>Verify: every ingredient shall be selected by default when the checklist opens.</t>
  </si>
  <si>
    <t>1. Open a Recipe with multiple ingredient sections.
2. Select Add to Shopping List.
3. Confirm every nonblank ingredient checkbox is selected when the interface opens.</t>
  </si>
  <si>
    <t>Every ingredient shall be selected by default when the checklist opens.</t>
  </si>
  <si>
    <t>ASL-FUNC-005-T01</t>
  </si>
  <si>
    <t>ASL-FUNC-005</t>
  </si>
  <si>
    <t>Verify: the user shall be able to deselect or reselect an individual ingredient.</t>
  </si>
  <si>
    <t>The user shall be able to deselect or reselect an individual ingredient.</t>
  </si>
  <si>
    <t>ASL-FUNC-006-T01</t>
  </si>
  <si>
    <t>ASL-FUNC-006</t>
  </si>
  <si>
    <t>Verify: the interface shall provide Select all.</t>
  </si>
  <si>
    <t>The interface shall provide Select all.</t>
  </si>
  <si>
    <t>ASL-FUNC-007-T01</t>
  </si>
  <si>
    <t>ASL-FUNC-007</t>
  </si>
  <si>
    <t>Verify: the interface shall provide Clear all.</t>
  </si>
  <si>
    <t>The interface shall provide Clear all.</t>
  </si>
  <si>
    <t>ASL-FUNC-008-T01</t>
  </si>
  <si>
    <t>ASL-FUNC-008</t>
  </si>
  <si>
    <t>Verify: cancel shall close the selection interface and add no shopping items.</t>
  </si>
  <si>
    <t>Cancel shall close the selection interface and add no shopping items.</t>
  </si>
  <si>
    <t>ASL-FUNC-009-T01</t>
  </si>
  <si>
    <t>ASL-FUNC-009</t>
  </si>
  <si>
    <t>Verify: add to List shall add only the ingredients that are selected at submission time.</t>
  </si>
  <si>
    <t>Add to List shall add only the ingredients that are selected at submission time.</t>
  </si>
  <si>
    <t>ASL-FUNC-010-T01</t>
  </si>
  <si>
    <t>ASL-FUNC-010</t>
  </si>
  <si>
    <t>Verify: selected recipe ingredients shall subsequently use the standard Shopping List categorization behavior.</t>
  </si>
  <si>
    <t>Selected recipe ingredients shall subsequently use the standard Shopping List categorization behavior.</t>
  </si>
  <si>
    <t>ASL-FUNC-011-T01</t>
  </si>
  <si>
    <t>ASL-FUNC-011</t>
  </si>
  <si>
    <t>Verify: add to List shall be disabled when zero ingredients are selected.</t>
  </si>
  <si>
    <t>1. Open ingredient selection.
2. Select Clear all.
3. Confirm selected count is zero and Add to List is disabled.
4. Select one item and confirm Add to List becomes enabled.</t>
  </si>
  <si>
    <t>Add to List shall be disabled when zero ingredients are selected.</t>
  </si>
  <si>
    <t>ASL-FUNC-012-T01</t>
  </si>
  <si>
    <t>ASL-FUNC-012</t>
  </si>
  <si>
    <t>Verify: each selected ingredient shall be added to Shopping using the full nonblank ingredient line verbatim as its initial visible Shopping item text.</t>
  </si>
  <si>
    <t>Each selected ingredient shall be added to Shopping using the full nonblank ingredient line verbatim as its initial visible Shopping item text.</t>
  </si>
  <si>
    <t>ASL-FUNC-013-T01</t>
  </si>
  <si>
    <t>ASL-FUNC-013</t>
  </si>
  <si>
    <t>Verify: adding ingredients shall not merge, suppress, or deduplicate Shopping items, including exact duplicate text.</t>
  </si>
  <si>
    <t>Adding ingredients shall not merge, suppress, or deduplicate Shopping items, including exact duplicate text.</t>
  </si>
  <si>
    <t>ASL-STATE-001-T01</t>
  </si>
  <si>
    <t>ASL-STATE-001</t>
  </si>
  <si>
    <t>Verify: after Add to List succeeds, remain on Recipe Detail and show confirmation rather than automatically navigating to Shopping.</t>
  </si>
  <si>
    <t>After Add to List succeeds, remain on Recipe Detail and show confirmation rather than automatically navigating to Shopping.</t>
  </si>
  <si>
    <t>SHOP-UI-001-T01</t>
  </si>
  <si>
    <t>SHOP-UI-001</t>
  </si>
  <si>
    <t>Shopping List</t>
  </si>
  <si>
    <t>Verify: meals shall expose one Shopping List; multiple lists are out of scope.</t>
  </si>
  <si>
    <t>Authenticated as the designated owner; Shopping is available; create representative items/categories as needed.</t>
  </si>
  <si>
    <t>Meals shall expose one Shopping List; multiple lists are out of scope.</t>
  </si>
  <si>
    <t>SHOP-FUNC-001-T01</t>
  </si>
  <si>
    <t>SHOP-FUNC-001</t>
  </si>
  <si>
    <t>Verify: shopping items shall be grouped by Shopping Category.</t>
  </si>
  <si>
    <t>Shopping items shall be grouped by Shopping Category.</t>
  </si>
  <si>
    <t>SHOP-FUNC-002-T01</t>
  </si>
  <si>
    <t>SHOP-FUNC-002</t>
  </si>
  <si>
    <t>Verify: the Shopping List shall accept items originating from selected Recipe ingredients.</t>
  </si>
  <si>
    <t>The Shopping List shall accept items originating from selected Recipe ingredients.</t>
  </si>
  <si>
    <t>SHOP-FUNC-003-T01</t>
  </si>
  <si>
    <t>SHOP-FUNC-003</t>
  </si>
  <si>
    <t>Verify: the user shall be able to manually add a Shopping item.</t>
  </si>
  <si>
    <t>The user shall be able to manually add a Shopping item.</t>
  </si>
  <si>
    <t>SHOP-FUNC-004-T01</t>
  </si>
  <si>
    <t>SHOP-FUNC-004</t>
  </si>
  <si>
    <t>Verify: the system shall attempt automatic category assignment for recipe-derived ingredients.</t>
  </si>
  <si>
    <t>The system shall attempt automatic category assignment for recipe-derived ingredients.</t>
  </si>
  <si>
    <t>SHOP-FUNC-005-T01</t>
  </si>
  <si>
    <t>SHOP-FUNC-005</t>
  </si>
  <si>
    <t>Verify: the system shall attempt automatic category assignment for manually entered Shopping items.</t>
  </si>
  <si>
    <t>The system shall attempt automatic category assignment for manually entered Shopping items.</t>
  </si>
  <si>
    <t>SHOP-FUNC-006-T01</t>
  </si>
  <si>
    <t>SHOP-FUNC-006</t>
  </si>
  <si>
    <t>Verify: the user shall be able to override an item’s assigned category.</t>
  </si>
  <si>
    <t>The user shall be able to override an item’s assigned category.</t>
  </si>
  <si>
    <t>SHOP-FUNC-007-T01</t>
  </si>
  <si>
    <t>SHOP-FUNC-007</t>
  </si>
  <si>
    <t>Verify: the user shall be able to create custom Shopping categories.</t>
  </si>
  <si>
    <t>The user shall be able to create custom Shopping categories.</t>
  </si>
  <si>
    <t>SHOP-FUNC-008-T01</t>
  </si>
  <si>
    <t>SHOP-FUNC-008</t>
  </si>
  <si>
    <t>Verify: each Shopping item shall support a purchased/checked state.</t>
  </si>
  <si>
    <t>Each Shopping item shall support a purchased/checked state.</t>
  </si>
  <si>
    <t>SHOP-FUNC-009-T01</t>
  </si>
  <si>
    <t>SHOP-FUNC-009</t>
  </si>
  <si>
    <t>Verify: checked items shall remain visible and visually subdued until cleared.</t>
  </si>
  <si>
    <t>Checked items shall remain visible and visually subdued until cleared.</t>
  </si>
  <si>
    <t>SHOP-FUNC-010-T01</t>
  </si>
  <si>
    <t>SHOP-FUNC-010</t>
  </si>
  <si>
    <t>Verify: checked items shall move to the bottom of their category.</t>
  </si>
  <si>
    <t>1. Create at least three items in one category.
2. Check the middle item.
3. Confirm it moves below all unchecked items while remaining in the same category.</t>
  </si>
  <si>
    <t>Checked items shall move to the bottom of their category.</t>
  </si>
  <si>
    <t>SHOP-FUNC-011-T01</t>
  </si>
  <si>
    <t>SHOP-FUNC-011</t>
  </si>
  <si>
    <t>Verify: clear Checked shall remove checked items without a confirmation prompt.</t>
  </si>
  <si>
    <t>Clear Checked shall remove checked items without a confirmation prompt.</t>
  </si>
  <si>
    <t>SHOP-FUNC-012-T01</t>
  </si>
  <si>
    <t>SHOP-FUNC-012</t>
  </si>
  <si>
    <t>Verify: clear List shall require confirmation before removing all Shopping items.</t>
  </si>
  <si>
    <t>1. Add checked and unchecked items.
2. Select Clear List.
3. Confirm a confirmation prompt appears.
4. Cancel and verify all items remain.
5. Repeat, confirm, and verify all items are removed.</t>
  </si>
  <si>
    <t>Clear List shall require confirmation before removing all Shopping items.</t>
  </si>
  <si>
    <t>SHOP-FUNC-013-T01</t>
  </si>
  <si>
    <t>SHOP-FUNC-013</t>
  </si>
  <si>
    <t>Verify: when every item in a category is checked, the category shall automatically collapse.</t>
  </si>
  <si>
    <t>1. On mobile, create a category with two unchecked items.
2. Check both items.
3. Confirm the completed category collapses automatically.
4. Tap the heading and confirm it reopens.</t>
  </si>
  <si>
    <t>When every item in a category is checked, the category shall automatically collapse.</t>
  </si>
  <si>
    <t>SHOP-FUNC-014-T01</t>
  </si>
  <si>
    <t>SHOP-FUNC-014</t>
  </si>
  <si>
    <t>Verify: a fully checked collapsed category shall be manually expandable.</t>
  </si>
  <si>
    <t>A fully checked collapsed category shall be manually expandable.</t>
  </si>
  <si>
    <t>SHOP-FUNC-015-T01</t>
  </si>
  <si>
    <t>SHOP-FUNC-015</t>
  </si>
  <si>
    <t>Verify: if automatic category assignment cannot determine a category, the user shall be able to select a category.</t>
  </si>
  <si>
    <t>If automatic category assignment cannot determine a category, the user shall be able to select a category.</t>
  </si>
  <si>
    <t>SHOP-FUNC-016-T01</t>
  </si>
  <si>
    <t>SHOP-FUNC-016</t>
  </si>
  <si>
    <t>Verify: adding a manual item shall visibly reflect the automatically assigned category when one is determined.</t>
  </si>
  <si>
    <t>Adding a manual item shall visibly reflect the automatically assigned category when one is determined.</t>
  </si>
  <si>
    <t>SHOP-FUNC-017-T01</t>
  </si>
  <si>
    <t>SHOP-FUNC-017</t>
  </si>
  <si>
    <t>Verify: ingredient quantity/unit deduplication or normalization across recipes shall not be required.</t>
  </si>
  <si>
    <t>Ingredient quantity/unit deduplication or normalization across recipes shall not be required.</t>
  </si>
  <si>
    <t>SHOP-FUNC-018-T01</t>
  </si>
  <si>
    <t>SHOP-FUNC-018</t>
  </si>
  <si>
    <t>Verify: existing Shopping item text shall be editable regardless of whether the item originated manually or from a Recipe; editing a Shopping item shall not modify the source Recipe.</t>
  </si>
  <si>
    <t>Existing Shopping item text shall be editable regardless of whether the item originated manually or from a Recipe; editing a Shopping item shall not modify the source Recipe.</t>
  </si>
  <si>
    <t>SHOP-FUNC-019-T01</t>
  </si>
  <si>
    <t>SHOP-FUNC-019</t>
  </si>
  <si>
    <t>Verify: an individual Shopping item shall be removable without confirmation.</t>
  </si>
  <si>
    <t>An individual Shopping item shall be removable without confirmation.</t>
  </si>
  <si>
    <t>SHOP-FUNC-020-T01</t>
  </si>
  <si>
    <t>SHOP-FUNC-020</t>
  </si>
  <si>
    <t>Verify: changing a Shopping item category shall persist immediately and move the item to the selected category without requiring a separate Save.</t>
  </si>
  <si>
    <t>Changing a Shopping item category shall persist immediately and move the item to the selected category without requiring a separate Save.</t>
  </si>
  <si>
    <t>SHOP-FUNC-021-T01</t>
  </si>
  <si>
    <t>SHOP-FUNC-021</t>
  </si>
  <si>
    <t>Verify: custom Shopping categories shall support create and rename.</t>
  </si>
  <si>
    <t>Custom Shopping categories shall support create and rename.</t>
  </si>
  <si>
    <t>SHOP-FUNC-022-T01</t>
  </si>
  <si>
    <t>SHOP-FUNC-022</t>
  </si>
  <si>
    <t>Verify: a custom Shopping category may be deleted only when no Shopping items are assigned to it.</t>
  </si>
  <si>
    <t>A custom Shopping category may be deleted only when no Shopping items are assigned to it.</t>
  </si>
  <si>
    <t>SHOP-FUNC-023-T01</t>
  </si>
  <si>
    <t>SHOP-FUNC-023</t>
  </si>
  <si>
    <t>Verify: predefined Shopping categories shall not be renameable or deletable.</t>
  </si>
  <si>
    <t>Predefined Shopping categories shall not be renameable or deletable.</t>
  </si>
  <si>
    <t>SHOP-FUNC-024-T01</t>
  </si>
  <si>
    <t>SHOP-FUNC-024</t>
  </si>
  <si>
    <t>Verify: clear List shall remove Shopping items while preserving predefined and custom Shopping categories.</t>
  </si>
  <si>
    <t>Clear List shall remove Shopping items while preserving predefined and custom Shopping categories.</t>
  </si>
  <si>
    <t>SHOP-FUNC-025-T01</t>
  </si>
  <si>
    <t>SHOP-FUNC-025</t>
  </si>
  <si>
    <t>Verify: each newly added ingredient shall create a new unchecked Shopping item and shall not reactivate, merge with, or otherwise modify an existing Shopping item.</t>
  </si>
  <si>
    <t>Each newly added ingredient shall create a new unchecked Shopping item and shall not reactivate, merge with, or otherwise modify an existing Shopping item.</t>
  </si>
  <si>
    <t>SHOP-FUNC-026-T01</t>
  </si>
  <si>
    <t>SHOP-FUNC-026</t>
  </si>
  <si>
    <t>Verify: desktop shall not automatically collapse a category when all of its items are checked.</t>
  </si>
  <si>
    <t>Desktop shall not automatically collapse a category when all of its items are checked.</t>
  </si>
  <si>
    <t>SHOP-STATE-001-T01</t>
  </si>
  <si>
    <t>SHOP-STATE-001</t>
  </si>
  <si>
    <t>Verify: a failed Shopping mutation shall preserve the current usable state where practical, clearly report failure, and allow retry rather than silently discarding the attempted value.</t>
  </si>
  <si>
    <t>A failed Shopping mutation shall preserve the current usable state where practical, clearly report failure, and allow retry rather than silently discarding the attempted value.</t>
  </si>
  <si>
    <t>SHOP-FUNC-027-T01</t>
  </si>
  <si>
    <t>SHOP-FUNC-027</t>
  </si>
  <si>
    <t>Verify: predefined Shopping categories shall display in the configured order established by this specification. Custom categories shall display after predefined categories in creation order. Manual category reordering is not required.</t>
  </si>
  <si>
    <t>Predefined Shopping categories shall display in the configured order established by this specification. Custom categories shall display after predefined categories in creation order. Manual category reordering is not required.</t>
  </si>
  <si>
    <t>PLAN-FUNC-001-T01</t>
  </si>
  <si>
    <t>PLAN-FUNC-001</t>
  </si>
  <si>
    <t>Plan Meal</t>
  </si>
  <si>
    <t>Verify: a Recipe shall be schedulable to a specific calendar date.</t>
  </si>
  <si>
    <t>A Recipe shall be schedulable to a specific calendar date.</t>
  </si>
  <si>
    <t>PLAN-FUNC-002-T01</t>
  </si>
  <si>
    <t>PLAN-FUNC-002</t>
  </si>
  <si>
    <t>Verify: the user shall select Breakfast, Lunch, or Dinner when scheduling a Recipe.</t>
  </si>
  <si>
    <t>The user shall select Breakfast, Lunch, or Dinner when scheduling a Recipe.</t>
  </si>
  <si>
    <t>PLAN-FUNC-003-T01</t>
  </si>
  <si>
    <t>PLAN-FUNC-003</t>
  </si>
  <si>
    <t>Verify: the Plan Meal date shall default to today.</t>
  </si>
  <si>
    <t>The Plan Meal date shall default to today.</t>
  </si>
  <si>
    <t>PLAN-FUNC-004-T01</t>
  </si>
  <si>
    <t>PLAN-FUNC-004</t>
  </si>
  <si>
    <t>Verify: the Plan Meal meal selection shall default to Dinner.</t>
  </si>
  <si>
    <t>The Plan Meal meal selection shall default to Dinner.</t>
  </si>
  <si>
    <t>PLAN-FUNC-005-T01</t>
  </si>
  <si>
    <t>PLAN-FUNC-005</t>
  </si>
  <si>
    <t>Verify: breakfast shall map to the Weekly Planner morning period.</t>
  </si>
  <si>
    <t>Breakfast shall map to the Weekly Planner morning period.</t>
  </si>
  <si>
    <t>PLAN-FUNC-006-T01</t>
  </si>
  <si>
    <t>PLAN-FUNC-006</t>
  </si>
  <si>
    <t>Verify: lunch shall map to the Weekly Planner afternoon period.</t>
  </si>
  <si>
    <t>Lunch shall map to the Weekly Planner afternoon period.</t>
  </si>
  <si>
    <t>PLAN-FUNC-007-T01</t>
  </si>
  <si>
    <t>PLAN-FUNC-007</t>
  </si>
  <si>
    <t>Verify: dinner shall map to the Weekly Planner evening period.</t>
  </si>
  <si>
    <t>Dinner shall map to the Weekly Planner evening period.</t>
  </si>
  <si>
    <t>PLAN-FUNC-008-T01</t>
  </si>
  <si>
    <t>PLAN-FUNC-008</t>
  </si>
  <si>
    <t>Verify: add to Planner shall create the scheduled meal entry without requiring the user to navigate to Planner first.</t>
  </si>
  <si>
    <t>Add to Planner shall create the scheduled meal entry without requiring the user to navigate to Planner first.</t>
  </si>
  <si>
    <t>PLAN-DATA-001-T01</t>
  </si>
  <si>
    <t>PLAN-DATA-001</t>
  </si>
  <si>
    <t>Verify: meal scheduling shall use the Planner-compatible local date key model (YYYY-MM-DD) while keeping Meals persistence separate from Planner task storage.</t>
  </si>
  <si>
    <t>Meal scheduling shall use the Planner-compatible local date key model (YYYY-MM-DD) while keeping Meals persistence separate from Planner task storage.</t>
  </si>
  <si>
    <t>PLAN-FUNC-009-T01</t>
  </si>
  <si>
    <t>PLAN-FUNC-009</t>
  </si>
  <si>
    <t>Verify: the same Recipe may be scheduled more than once for the same date and meal period; no duplicate-scheduling check is required.</t>
  </si>
  <si>
    <t>The same Recipe may be scheduled more than once for the same date and meal period; no duplicate-scheduling check is required.</t>
  </si>
  <si>
    <t>PLAN-FUNC-010-T01</t>
  </si>
  <si>
    <t>PLAN-FUNC-010</t>
  </si>
  <si>
    <t>Verify: plan Meal shall allow dates in the past as well as today and future dates.</t>
  </si>
  <si>
    <t>Plan Meal shall allow dates in the past as well as today and future dates.</t>
  </si>
  <si>
    <t>PLAN-STATE-001-T01</t>
  </si>
  <si>
    <t>PLAN-STATE-001</t>
  </si>
  <si>
    <t>Verify: after Add to Planner succeeds, remain on Recipe Detail and show confirmation; optional View in Planner navigation may be offered.</t>
  </si>
  <si>
    <t>After Add to Planner succeeds, remain on Recipe Detail and show confirmation; optional View in Planner navigation may be offered.</t>
  </si>
  <si>
    <t>PLAN-FUNC-011-T01</t>
  </si>
  <si>
    <t>PLAN-FUNC-011</t>
  </si>
  <si>
    <t>Verify: when View in Planner is selected following successful meal scheduling, Weekly Planner shall open/display the week containing the scheduled date.</t>
  </si>
  <si>
    <t>1. From Recipe Detail, schedule a meal on a date outside the currently displayed Planner week.
2. Select View in Planner from the success confirmation.
3. Confirm Planner displays the week containing the scheduled date and the meal is visible.</t>
  </si>
  <si>
    <t>When View in Planner is selected following successful meal scheduling, Weekly Planner shall open/display the week containing the scheduled date.</t>
  </si>
  <si>
    <t>WP-UI-001-T01</t>
  </si>
  <si>
    <t>WP-UI-001</t>
  </si>
  <si>
    <t>Weekly Planner</t>
  </si>
  <si>
    <t>Verify: the existing Weekly Planner shall gain a dedicated meal area within Morning, Afternoon, and Evening rather than rendering meal entries as task checkboxes.</t>
  </si>
  <si>
    <t>The existing Weekly Planner shall gain a dedicated meal area within Morning, Afternoon, and Evening rather than rendering meal entries as task checkboxes.</t>
  </si>
  <si>
    <t>WP-UI-002-T01</t>
  </si>
  <si>
    <t>WP-UI-002</t>
  </si>
  <si>
    <t>Verify: morning shall present Breakfast meal content, Afternoon shall present Lunch, and Evening shall present Dinner.</t>
  </si>
  <si>
    <t>Morning shall present Breakfast meal content, Afternoon shall present Lunch, and Evening shall present Dinner.</t>
  </si>
  <si>
    <t>WP-FUNC-001-T01</t>
  </si>
  <si>
    <t>WP-FUNC-001</t>
  </si>
  <si>
    <t>Verify: each Breakfast, Lunch, or Dinner slot shall support multiple meal entries.</t>
  </si>
  <si>
    <t>Each Breakfast, Lunch, or Dinner slot shall support multiple meal entries.</t>
  </si>
  <si>
    <t>WP-FUNC-002-T01</t>
  </si>
  <si>
    <t>WP-FUNC-002</t>
  </si>
  <si>
    <t>Verify: a meal slot may contain any mixture of recipe-linked and free-text entries.</t>
  </si>
  <si>
    <t>A meal slot may contain any mixture of recipe-linked and free-text entries.</t>
  </si>
  <si>
    <t>WP-FUNC-003-T01</t>
  </si>
  <si>
    <t>WP-FUNC-003</t>
  </si>
  <si>
    <t>Verify: recipe-linked meal entries shall visually indicate that the linked Recipe can be viewed.</t>
  </si>
  <si>
    <t>Recipe-linked meal entries shall visually indicate that the linked Recipe can be viewed.</t>
  </si>
  <si>
    <t>WP-FUNC-004-T01</t>
  </si>
  <si>
    <t>WP-FUNC-004</t>
  </si>
  <si>
    <t>Verify: free-text meal entries shall not imply a Recipe link.</t>
  </si>
  <si>
    <t>Free-text meal entries shall not imply a Recipe link.</t>
  </si>
  <si>
    <t>WP-FUNC-005-T01</t>
  </si>
  <si>
    <t>WP-FUNC-005</t>
  </si>
  <si>
    <t>Verify: planner meal integration shall not redesign unrelated Weekly Planner task behavior or information architecture.</t>
  </si>
  <si>
    <t>Planner meal integration shall not redesign unrelated Weekly Planner task behavior or information architecture.</t>
  </si>
  <si>
    <t>WP-FUNC-006-T01</t>
  </si>
  <si>
    <t>WP-FUNC-006</t>
  </si>
  <si>
    <t>Verify: planner shall allow a meal entry to be added directly from a meal slot using a lightweight Recipe / Free text choice.</t>
  </si>
  <si>
    <t>Planner shall allow a meal entry to be added directly from a meal slot using a lightweight Recipe / Free text choice.</t>
  </si>
  <si>
    <t>WP-FUNC-007-T01</t>
  </si>
  <si>
    <t>WP-FUNC-007</t>
  </si>
  <si>
    <t>Verify: recipe entry from Planner shall support searching/selecting an existing Recipe.</t>
  </si>
  <si>
    <t>Recipe entry from Planner shall support searching/selecting an existing Recipe.</t>
  </si>
  <si>
    <t>WP-FUNC-008-T01</t>
  </si>
  <si>
    <t>WP-FUNC-008</t>
  </si>
  <si>
    <t>Verify: free-text entry from Planner shall accept arbitrary meal text.</t>
  </si>
  <si>
    <t>Free-text entry from Planner shall accept arbitrary meal text.</t>
  </si>
  <si>
    <t>WP-FUNC-009-T01</t>
  </si>
  <si>
    <t>WP-FUNC-009</t>
  </si>
  <si>
    <t>Verify: a populated meal slot shall allow another meal entry to be added.</t>
  </si>
  <si>
    <t>A populated meal slot shall allow another meal entry to be added.</t>
  </si>
  <si>
    <t>WP-DATA-001-T01</t>
  </si>
  <si>
    <t>WP-DATA-001</t>
  </si>
  <si>
    <t>Verify: meal-plan entries shall be read and written independently from existing Planner task persistence and composed into the Weekly Planner by date and mapped period.</t>
  </si>
  <si>
    <t>Meal-plan entries shall be read and written independently from existing Planner task persistence and composed into the Weekly Planner by date and mapped period.</t>
  </si>
  <si>
    <t>WP-FUNC-010-T01</t>
  </si>
  <si>
    <t>WP-FUNC-010</t>
  </si>
  <si>
    <t>Verify: multiple meal entries shall display in insertion order; manual reordering is not required in this version.</t>
  </si>
  <si>
    <t>Multiple meal entries shall display in insertion order; manual reordering is not required in this version.</t>
  </si>
  <si>
    <t>WP-UI-003-T01</t>
  </si>
  <si>
    <t>WP-UI-003</t>
  </si>
  <si>
    <t>Verify: breakfast, Lunch, and Dinner rows shall remain visible even when empty and shall expose an Add meal affordance.</t>
  </si>
  <si>
    <t>Breakfast, Lunch, and Dinner rows shall remain visible even when empty and shall expose an Add meal affordance.</t>
  </si>
  <si>
    <t>WP-FUNC-011-T01</t>
  </si>
  <si>
    <t>WP-FUNC-011</t>
  </si>
  <si>
    <t>Verify: selecting Add meal on an empty or populated meal row shall open the Recipe / Free text entry interaction directly without an extra intermediate menu.</t>
  </si>
  <si>
    <t>Selecting Add meal on an empty or populated meal row shall open the Recipe / Free text entry interaction directly without an extra intermediate menu.</t>
  </si>
  <si>
    <t>WP-FUNC-012-T01</t>
  </si>
  <si>
    <t>WP-FUNC-012</t>
  </si>
  <si>
    <t>Verify: the Planner Recipe picker shall search Recipe Title only using case-insensitive substring matching.</t>
  </si>
  <si>
    <t>1. Open Add meal &gt; Recipe.
2. Search by a title substring and confirm matches.
3. Search using an ingredient-only term and confirm ingredient text does not drive results.</t>
  </si>
  <si>
    <t>The Planner Recipe picker shall search Recipe Title only using case-insensitive substring matching.</t>
  </si>
  <si>
    <t>WP-UI-004-T01</t>
  </si>
  <si>
    <t>WP-UI-004</t>
  </si>
  <si>
    <t>Verify: favorite Recipes shall display their Favorite star in the Planner Recipe picker, but Favorite status shall not alter alphabetical result ordering.</t>
  </si>
  <si>
    <t>Favorite Recipes shall display their Favorite star in the Planner Recipe picker, but Favorite status shall not alter alphabetical result ordering.</t>
  </si>
  <si>
    <t>WP-VAL-001-T01</t>
  </si>
  <si>
    <t>WP-VAL-001</t>
  </si>
  <si>
    <t>Verify: a free-text meal entry shall contain at least one non-whitespace character before it can be saved.</t>
  </si>
  <si>
    <t>A free-text meal entry shall contain at least one non-whitespace character before it can be saved.</t>
  </si>
  <si>
    <t>PM-FUNC-001-T01</t>
  </si>
  <si>
    <t>PM-FUNC-001</t>
  </si>
  <si>
    <t>Planner Meal Management</t>
  </si>
  <si>
    <t>Verify: activating an existing recipe-linked meal entry shall expose View and Remove actions.</t>
  </si>
  <si>
    <t>Activating an existing recipe-linked meal entry shall expose View and Remove actions.</t>
  </si>
  <si>
    <t>PM-FUNC-002-T01</t>
  </si>
  <si>
    <t>PM-FUNC-002</t>
  </si>
  <si>
    <t>Verify: view shall open the linked Recipe Detail page.</t>
  </si>
  <si>
    <t>View shall open the linked Recipe Detail page.</t>
  </si>
  <si>
    <t>PM-FUNC-003-T01</t>
  </si>
  <si>
    <t>PM-FUNC-003</t>
  </si>
  <si>
    <t>Verify: remove shall remove only that scheduled meal occurrence and shall not delete the underlying Recipe.</t>
  </si>
  <si>
    <t>Remove shall remove only that scheduled meal occurrence and shall not delete the underlying Recipe.</t>
  </si>
  <si>
    <t>PM-FUNC-004-T01</t>
  </si>
  <si>
    <t>PM-FUNC-004</t>
  </si>
  <si>
    <t>Verify: removing a scheduled meal occurrence shall not require confirmation.</t>
  </si>
  <si>
    <t>Removing a scheduled meal occurrence shall not require confirmation.</t>
  </si>
  <si>
    <t>PM-FUNC-005-T01</t>
  </si>
  <si>
    <t>PM-FUNC-005</t>
  </si>
  <si>
    <t>Verify: activating an existing free-text meal entry shall expose Edit and Remove actions.</t>
  </si>
  <si>
    <t>Activating an existing free-text meal entry shall expose Edit and Remove actions.</t>
  </si>
  <si>
    <t>PM-FUNC-006-T01</t>
  </si>
  <si>
    <t>PM-FUNC-006</t>
  </si>
  <si>
    <t>Verify: editing a free-text meal shall use a lightweight inline or compact editing interaction with Save and Cancel.</t>
  </si>
  <si>
    <t>1. Open actions for a free-text meal.
2. Select Edit.
3. Change text and Save; confirm updated text persists.
4. Edit again and Cancel; confirm the canceled value is not applied.</t>
  </si>
  <si>
    <t>Editing a free-text meal shall use a lightweight inline or compact editing interaction with Save and Cancel.</t>
  </si>
  <si>
    <t>PM-FUNC-007-T01</t>
  </si>
  <si>
    <t>PM-FUNC-007</t>
  </si>
  <si>
    <t>Verify: removing a free-text meal entry shall not require confirmation.</t>
  </si>
  <si>
    <t>Removing a free-text meal entry shall not require confirmation.</t>
  </si>
  <si>
    <t>PM-FUNC-008-T01</t>
  </si>
  <si>
    <t>PM-FUNC-008</t>
  </si>
  <si>
    <t>Verify: if a Recipe is deleted while scheduled, each existing scheduled occurrence shall remain visible using its existing Recipe title as plain text.</t>
  </si>
  <si>
    <t>1. Schedule a Recipe.
2. Delete the Recipe and accept the warning.
3. Open Planner at the scheduled week.
4. Confirm the entry remains as plain text.</t>
  </si>
  <si>
    <t>If a Recipe is deleted while scheduled, each existing scheduled occurrence shall remain visible using its existing Recipe title as plain text.</t>
  </si>
  <si>
    <t>PM-FUNC-009-T01</t>
  </si>
  <si>
    <t>PM-FUNC-009</t>
  </si>
  <si>
    <t>Verify: a scheduled entry converted to plain text after Recipe deletion shall lose Recipe-link behavior.</t>
  </si>
  <si>
    <t>A scheduled entry converted to plain text after Recipe deletion shall lose Recipe-link behavior.</t>
  </si>
  <si>
    <t>PM-FUNC-010-T01</t>
  </si>
  <si>
    <t>PM-FUNC-010</t>
  </si>
  <si>
    <t>Verify: a scheduled entry converted to plain text after Recipe deletion shall thereafter support Edit and Remove like any other free-text meal.</t>
  </si>
  <si>
    <t>A scheduled entry converted to plain text after Recipe deletion shall thereafter support Edit and Remove like any other free-text meal.</t>
  </si>
  <si>
    <t>PM-FUNC-011-T01</t>
  </si>
  <si>
    <t>PM-FUNC-011</t>
  </si>
  <si>
    <t>Verify: while a scheduled entry remains Recipe-linked, its displayed title shall reflect the Recipe current title after Recipe renames.</t>
  </si>
  <si>
    <t>While a scheduled entry remains Recipe-linked, its displayed title shall reflect the Recipe current title after Recipe renames.</t>
  </si>
  <si>
    <t>PM-FUNC-012-T01</t>
  </si>
  <si>
    <t>PM-FUNC-012</t>
  </si>
  <si>
    <t>Verify: a meal-plan mutation failure shall not be presented as successful; existing persisted meal content shall remain available and the user shall be able to retry where appropriate.</t>
  </si>
  <si>
    <t>A meal-plan mutation failure shall not be presented as successful; existing persisted meal content shall remain available and the user shall be able to retry where appropriate.</t>
  </si>
  <si>
    <t>RESP-001-T01-D</t>
  </si>
  <si>
    <t>RESP-001</t>
  </si>
  <si>
    <t>Responsive</t>
  </si>
  <si>
    <t>RESP</t>
  </si>
  <si>
    <t>Verify: meals shall use one responsive React implementation for web and Capacitor rather than separate desktop/mobile applications.</t>
  </si>
  <si>
    <t>Meals shall use one responsive React implementation for web and Capacitor rather than separate desktop/mobile applications.</t>
  </si>
  <si>
    <t>RESP-001-T01-M</t>
  </si>
  <si>
    <t>RESP-002-T01</t>
  </si>
  <si>
    <t>RESP-002</t>
  </si>
  <si>
    <t>Verify: desktop Meals surfaces shall prioritize compact data density and efficient management.</t>
  </si>
  <si>
    <t>Desktop Meals surfaces shall prioritize compact data density and efficient management.</t>
  </si>
  <si>
    <t>RESP-003-T01</t>
  </si>
  <si>
    <t>RESP-003</t>
  </si>
  <si>
    <t>Verify: mobile Meals surfaces shall prioritize minimal presentation, touch-friendly controls, and the current task.</t>
  </si>
  <si>
    <t>Mobile Meals surfaces shall prioritize minimal presentation, touch-friendly controls, and the current task.</t>
  </si>
  <si>
    <t>STATE-001-T01</t>
  </si>
  <si>
    <t>STATE-001</t>
  </si>
  <si>
    <t>Cross-cutting States</t>
  </si>
  <si>
    <t>Verify: data-backed Meals pages shall expose an appropriate loading state consistent with existing HomeMaintenanceApp patterns and shall not display a misleading empty state while initial data is pending. Exact spinner/skeleton/text treatment is an implementation detail.</t>
  </si>
  <si>
    <t>Data-backed Meals pages shall expose an appropriate loading state consistent with existing HomeMaintenanceApp patterns and shall not display a misleading empty state while initial data is pending. Exact spinner/skeleton/text treatment is an implementation detail.</t>
  </si>
  <si>
    <t>STATE-002-T01</t>
  </si>
  <si>
    <t>STATE-002</t>
  </si>
  <si>
    <t>Verify: data-backed Meals pages shall expose an actionable error state when required data cannot be loaded.</t>
  </si>
  <si>
    <t>Data-backed Meals pages shall expose an actionable error state when required data cannot be loaded.</t>
  </si>
  <si>
    <t>STATE-003-T01</t>
  </si>
  <si>
    <t>STATE-003</t>
  </si>
  <si>
    <t>Verify: save/mutation interactions shall prevent accidental duplicate submission while a save is in progress.</t>
  </si>
  <si>
    <t>Save/mutation interactions shall prevent accidental duplicate submission while a save is in progress.</t>
  </si>
  <si>
    <t>STATE-004-T01-D</t>
  </si>
  <si>
    <t>STATE-004</t>
  </si>
  <si>
    <t>Verify: true empty states shall be distinguished from zero-match search/filter states and shall expose recovery actions appropriate to the condition.</t>
  </si>
  <si>
    <t>True empty states shall be distinguished from zero-match search/filter states and shall expose recovery actions appropriate to the condition.</t>
  </si>
  <si>
    <t>STATE-004-T01-M</t>
  </si>
  <si>
    <t>STATE-005-T01</t>
  </si>
  <si>
    <t>STATE-005</t>
  </si>
  <si>
    <t>Verify: destructive Recipe deletion shall require explicit confirmation.</t>
  </si>
  <si>
    <t>Destructive Recipe deletion shall require explicit confirmation.</t>
  </si>
  <si>
    <t>STATE-006-T01</t>
  </si>
  <si>
    <t>STATE-006</t>
  </si>
  <si>
    <t>Verify: clear List shall use the Shopping-specific confirmation defined in SHOP-FUNC-012; Clear Checked and Planner meal occurrence removal shall remain confirmation-free.</t>
  </si>
  <si>
    <t>Clear List shall use the Shopping-specific confirmation defined in SHOP-FUNC-012; Clear Checked and Planner meal occurrence removal shall remain confirmation-free.</t>
  </si>
  <si>
    <t>STATE-007-T01</t>
  </si>
  <si>
    <t>STATE-007</t>
  </si>
  <si>
    <t>Verify: mutation failures shall clearly indicate that the attempted change did not persist and shall preserve user-entered or currently persisted content where practical so the action can be retried.</t>
  </si>
  <si>
    <t>Mutation failures shall clearly indicate that the attempted change did not persist and shall preserve user-entered or currently persisted content where practical so the action can be retried.</t>
  </si>
  <si>
    <t>Execution Owner</t>
  </si>
  <si>
    <t>Environment</t>
  </si>
  <si>
    <t>ARCH-001-T01</t>
  </si>
  <si>
    <t>ARCH-001</t>
  </si>
  <si>
    <t>Architecture &amp; Security</t>
  </si>
  <si>
    <t>ARCH</t>
  </si>
  <si>
    <t>COPILOT</t>
  </si>
  <si>
    <t>Local/Test</t>
  </si>
  <si>
    <t>Verify: meals shall use the existing application Supabase Auth session and shall not introduce a separate Meals authentication concept.</t>
  </si>
  <si>
    <t>Use the identity/environment required by the test; production-changing actions require separate authorization.</t>
  </si>
  <si>
    <t>1. Arrange the preconditions.
2. Perform the user/database action described by the requirement.
3. Observe the result.
4. Compare the observed result with Expected Result.</t>
  </si>
  <si>
    <t>Meals shall use the existing application Supabase Auth session and shall not introduce a separate Meals authentication concept.</t>
  </si>
  <si>
    <t>ARCH-002-T01</t>
  </si>
  <si>
    <t>ARCH-002</t>
  </si>
  <si>
    <t>Verify: meals shall not weaken, bypass, or replace the existing exact-owner RLS authorization model.</t>
  </si>
  <si>
    <t>1. Verify the behavior through the application using the specified identity.
2. Independently attempt the corresponding Supabase data/API operation using the same authorization context.
3. Confirm both layers produce the expected allow/deny result.
4. Capture evidence.</t>
  </si>
  <si>
    <t>Meals shall not weaken, bypass, or replace the existing exact-owner RLS authorization model.</t>
  </si>
  <si>
    <t>ARCH-003-T01</t>
  </si>
  <si>
    <t>ARCH-003</t>
  </si>
  <si>
    <t>Production Read-Only</t>
  </si>
  <si>
    <t>Verify: the designated human owner UUID for production authorization is e72bccd9-ec2b-4822-bb5c-b7c1f39dcf60.</t>
  </si>
  <si>
    <t>The designated human owner UUID for production authorization is e72bccd9-ec2b-4822-bb5c-b7c1f39dcf60.</t>
  </si>
  <si>
    <t>ARCH-004-T01</t>
  </si>
  <si>
    <t>ARCH-004</t>
  </si>
  <si>
    <t>Verify: logged-out/anonymous clients shall receive no access to private Meals application data or private Meals RPCs.</t>
  </si>
  <si>
    <t>Logged-out/anonymous clients shall receive no access to private Meals application data or private Meals RPCs.</t>
  </si>
  <si>
    <t>ARCH-005-T01</t>
  </si>
  <si>
    <t>ARCH-005</t>
  </si>
  <si>
    <t>Verify: an authenticated identity other than the designated owner shall receive no access to owner Meals data.</t>
  </si>
  <si>
    <t>An authenticated identity other than the designated owner shall receive no access to owner Meals data.</t>
  </si>
  <si>
    <t>ARCH-006-T01</t>
  </si>
  <si>
    <t>ARCH-006</t>
  </si>
  <si>
    <t>Source/Build Inspection</t>
  </si>
  <si>
    <t>Verify: service_role credentials shall never be exposed to browser code.</t>
  </si>
  <si>
    <t>service_role credentials shall never be exposed to browser code.</t>
  </si>
  <si>
    <t>ARCH-007-T01</t>
  </si>
  <si>
    <t>ARCH-007</t>
  </si>
  <si>
    <t>Verify: meals shall not depend on planner_curated_api, planner_broker_access_token_hook, the abandoned broker Auth identity, broker column grants, or the old Custom Access Token Hook architecture.</t>
  </si>
  <si>
    <t>Meals shall not depend on planner_curated_api, planner_broker_access_token_hook, the abandoned broker Auth identity, broker column grants, or the old Custom Access Token Hook architecture.</t>
  </si>
  <si>
    <t>ARCH-008-T01</t>
  </si>
  <si>
    <t>ARCH-008</t>
  </si>
  <si>
    <t>Verify: meals implementation shall not be blocked by the separate broker cleanup workstream or the Supabase Support inquiry about managed supabase_admin default privileges.</t>
  </si>
  <si>
    <t>Meals implementation shall not be blocked by the separate broker cleanup workstream or the Supabase Support inquiry about managed supabase_admin default privileges.</t>
  </si>
  <si>
    <t>ARCH-009-T01</t>
  </si>
  <si>
    <t>ARCH-009</t>
  </si>
  <si>
    <t>Verify: meals security shall not rely on inherited/default PostgreSQL or Supabase privileges; each new object shall be explicitly secured and verified.</t>
  </si>
  <si>
    <t>Meals security shall not rely on inherited/default PostgreSQL or Supabase privileges; each new object shall be explicitly secured and verified.</t>
  </si>
  <si>
    <t>ARCH-012-T01</t>
  </si>
  <si>
    <t>ARCH-012</t>
  </si>
  <si>
    <t>Verify: browser-accessible Meals tables shall use explicit RLS and operation-specific owner policies.</t>
  </si>
  <si>
    <t>Browser-accessible Meals tables shall use explicit RLS and operation-specific owner policies.</t>
  </si>
  <si>
    <t>ARCH-013-T01</t>
  </si>
  <si>
    <t>ARCH-013</t>
  </si>
  <si>
    <t>Verify: direct RLS-protected table operations are preferred where sufficient; RPCs shall not be introduced merely as CRUD wrappers.</t>
  </si>
  <si>
    <t>Direct RLS-protected table operations are preferred where sufficient; RPCs shall not be introduced merely as CRUD wrappers.</t>
  </si>
  <si>
    <t>ARCH-014-T01</t>
  </si>
  <si>
    <t>ARCH-014</t>
  </si>
  <si>
    <t>Verify: any application-callable PostgreSQL function shall prefer SECURITY INVOKER; SECURITY DEFINER requires separate explicit security review before implementation.</t>
  </si>
  <si>
    <t>Any application-callable PostgreSQL function shall prefer SECURITY INVOKER; SECURITY DEFINER requires separate explicit security review before implementation.</t>
  </si>
  <si>
    <t>SEC-TST-001-T01</t>
  </si>
  <si>
    <t>SEC-TST-001</t>
  </si>
  <si>
    <t>Security Verification</t>
  </si>
  <si>
    <t>TEST</t>
  </si>
  <si>
    <t>Verify: logged out / anon shall be unable to retrieve private Meals data.</t>
  </si>
  <si>
    <t>1. Sign out.
2. Open Meals/private data surfaces.
3. Attempt a direct private-data read through the application/test harness.</t>
  </si>
  <si>
    <t>Logged out / anon shall be unable to retrieve private Meals data.</t>
  </si>
  <si>
    <t>SEC-TST-002-T01</t>
  </si>
  <si>
    <t>SEC-TST-002</t>
  </si>
  <si>
    <t>Verify: logged out / anon shall be unable to perform Meals mutations.</t>
  </si>
  <si>
    <t>Logged out / anon shall be unable to perform Meals mutations.</t>
  </si>
  <si>
    <t>SEC-TST-003-T01</t>
  </si>
  <si>
    <t>SEC-TST-003</t>
  </si>
  <si>
    <t>Verify: logged out / anon shall be unable to invoke private Meals RPCs, if any exist.</t>
  </si>
  <si>
    <t>Logged out / anon shall be unable to invoke private Meals RPCs, if any exist.</t>
  </si>
  <si>
    <t>SEC-TST-004-T01</t>
  </si>
  <si>
    <t>SEC-TST-004</t>
  </si>
  <si>
    <t>Verify: the authenticated designated owner shall succeed for each intended read/create/update/delete operation exposed by the implemented Meals UI.</t>
  </si>
  <si>
    <t>The authenticated designated owner shall succeed for each intended read/create/update/delete operation exposed by the implemented Meals UI.</t>
  </si>
  <si>
    <t>SEC-TST-005-T01</t>
  </si>
  <si>
    <t>SEC-TST-005</t>
  </si>
  <si>
    <t>Verify: a synthetic authenticated non-owner UUID shall be denied owner Meals data access and mutations.</t>
  </si>
  <si>
    <t>A synthetic authenticated non-owner UUID shall be denied owner Meals data access and mutations.</t>
  </si>
  <si>
    <t>SEC-TST-006-T01</t>
  </si>
  <si>
    <t>SEC-TST-006</t>
  </si>
  <si>
    <t>Verify: browser code shall contain no service_role credential or equivalent privileged backend secret.</t>
  </si>
  <si>
    <t>Browser code shall contain no service_role credential or equivalent privileged backend secret.</t>
  </si>
  <si>
    <t>SEC-TST-007-T01</t>
  </si>
  <si>
    <t>SEC-TST-007</t>
  </si>
  <si>
    <t>Verify: catalog verification shall confirm exact relation ACLs, RLS states, policies, policy roles/expressions, function ACL/security mode, view security, and sequence ACLs for applicable Meals objects.</t>
  </si>
  <si>
    <t>Catalog verification shall confirm exact relation ACLs, RLS states, policies, policy roles/expressions, function ACL/security mode, view security, and sequence ACLs for applicable Meals objects.</t>
  </si>
  <si>
    <t>SEC-TST-008-T01</t>
  </si>
  <si>
    <t>SEC-TST-008</t>
  </si>
  <si>
    <t>Verify: catalog verification shall establish no unintended anon or PUBLIC application-data access.</t>
  </si>
  <si>
    <t>Catalog verification shall establish no unintended anon or PUBLIC application-data access.</t>
  </si>
  <si>
    <t>SEC-TST-009-T01</t>
  </si>
  <si>
    <t>SEC-TST-009</t>
  </si>
  <si>
    <t>Verify: catalog/source verification shall establish no Meals dependency on the abandoned broker architecture.</t>
  </si>
  <si>
    <t>Catalog/source verification shall establish no Meals dependency on the abandoned broker architecture.</t>
  </si>
  <si>
    <t>SEC-TST-010-T01</t>
  </si>
  <si>
    <t>SEC-TST-010</t>
  </si>
  <si>
    <t>Verify: post-release verification shall include a fresh owner application smoke test and review of new Meals-related Supabase Security Advisor findings.</t>
  </si>
  <si>
    <t>Post-release verification shall include a fresh owner application smoke test and review of new Meals-related Supabase Security Advisor findings.</t>
  </si>
  <si>
    <t>Check ID</t>
  </si>
  <si>
    <t>Object / Area</t>
  </si>
  <si>
    <t>Migration Filename</t>
  </si>
  <si>
    <t>Git Commit / Branch</t>
  </si>
  <si>
    <t>Target Project</t>
  </si>
  <si>
    <t>Verification Stage</t>
  </si>
  <si>
    <t>Verification Date</t>
  </si>
  <si>
    <t>Deployment Blocker?</t>
  </si>
  <si>
    <t>Verification</t>
  </si>
  <si>
    <t>Expected Catalog / Security Result</t>
  </si>
  <si>
    <t>Evidence / Export</t>
  </si>
  <si>
    <t>Rollback/Reversal Strategy Prepared?</t>
  </si>
  <si>
    <t>Rollback Executed?</t>
  </si>
  <si>
    <t>DBV-ARCH-004</t>
  </si>
  <si>
    <t>home-maintenance-app / tawvchmjtkgykwwvnnnn</t>
  </si>
  <si>
    <t>Yes</t>
  </si>
  <si>
    <t>Run the source-controlled read-only catalog verification supporting this requirement.</t>
  </si>
  <si>
    <t>No</t>
  </si>
  <si>
    <t>DBV-ARCH-009</t>
  </si>
  <si>
    <t>DBV-ARCH-010</t>
  </si>
  <si>
    <t>ARCH-010</t>
  </si>
  <si>
    <t>Meal-plan entries shall be persisted as a separate domain from existing Planner task records.</t>
  </si>
  <si>
    <t>DBV-ARCH-013</t>
  </si>
  <si>
    <t>DBV-ARCH-014</t>
  </si>
  <si>
    <t>DBV-ARCH-015</t>
  </si>
  <si>
    <t>ARCH-015</t>
  </si>
  <si>
    <t>New Meals database objects shall normally be created through the reviewed postgres-controlled migration/SQL path and shall not intentionally be owned by supabase_admin.</t>
  </si>
  <si>
    <t>DBV-DB-SEC-001</t>
  </si>
  <si>
    <t>DB-SEC-001</t>
  </si>
  <si>
    <t>Database &amp; Persistence</t>
  </si>
  <si>
    <t>Every browser-accessible Meals table shall explicitly enable RLS.</t>
  </si>
  <si>
    <t>DBV-DB-SEC-002</t>
  </si>
  <si>
    <t>DB-SEC-002</t>
  </si>
  <si>
    <t>Every browser-accessible Meals table shall explicitly revoke unintended anon and PUBLIC application-data access.</t>
  </si>
  <si>
    <t>DBV-DB-SEC-003</t>
  </si>
  <si>
    <t>DB-SEC-003</t>
  </si>
  <si>
    <t>authenticated shall receive only the table operations required by the approved UI/API for each object.</t>
  </si>
  <si>
    <t>DBV-DB-SEC-004</t>
  </si>
  <si>
    <t>DB-SEC-004</t>
  </si>
  <si>
    <t>Each allowed browser operation shall use an operation-specific policy restricting access to the exact designated owner.</t>
  </si>
  <si>
    <t>DBV-DB-SEC-005</t>
  </si>
  <si>
    <t>DB-SEC-005</t>
  </si>
  <si>
    <t>A table intentionally inaccessible to browser clients may use RLS with no browser policy; permissive policies shall not be added merely to remove informational lint.</t>
  </si>
  <si>
    <t>DBV-DB-SEC-006</t>
  </si>
  <si>
    <t>DB-SEC-006</t>
  </si>
  <si>
    <t>Every new Meals object shall have schema, owner, object type, effective ACL, RLS state, policies, and relevant security configuration verified after creation.</t>
  </si>
  <si>
    <t>DBV-DB-SEC-007</t>
  </si>
  <si>
    <t>DB-SEC-007</t>
  </si>
  <si>
    <t>Unexpected supabase_admin ownership or unexplained PUBLIC/anon/authenticated privileges on a new Meals object shall block production acceptance pending review.</t>
  </si>
  <si>
    <t>DBV-DB-SEC-008</t>
  </si>
  <si>
    <t>DB-SEC-008</t>
  </si>
  <si>
    <t>If views are introduced, browser accessibility, view ACL, underlying RLS behavior, and effective security-invoker/caller semantics shall be explicitly configured and verified.</t>
  </si>
  <si>
    <t>DBV-DB-SEC-009</t>
  </si>
  <si>
    <t>DB-SEC-009</t>
  </si>
  <si>
    <t>If sequences are introduced, only required sequence privileges shall be granted; anon shall receive none.</t>
  </si>
  <si>
    <t>DBV-DB-SEC-010</t>
  </si>
  <si>
    <t>DB-SEC-010</t>
  </si>
  <si>
    <t>If application-callable functions are introduced, unintended PUBLIC/anon EXECUTE shall be revoked and authenticated EXECUTE shall be granted only when required.</t>
  </si>
  <si>
    <t>DBV-DB-SEC-011</t>
  </si>
  <si>
    <t>DB-SEC-011</t>
  </si>
  <si>
    <t>Meals migrations and verification shall contain no dependency on planner_curated_api or planner_broker_access_token_hook.</t>
  </si>
  <si>
    <t>DBV-DB-SEC-012</t>
  </si>
  <si>
    <t>DB-SEC-012</t>
  </si>
  <si>
    <t>Production database verification shall confirm the target Supabase project is home-maintenance-app / tawvchmjtkgykwwvnnnn before relying on catalog results.</t>
  </si>
  <si>
    <t>DBV-DB-DATA-001</t>
  </si>
  <si>
    <t>DB-DATA-001</t>
  </si>
  <si>
    <t>Primary persisted Meals records shall use database-managed created_at and updated_at timestamps where technically applicable. These timestamps are operational metadata and do not require display in the Meals UI.</t>
  </si>
  <si>
    <t>DBV-PROJECT-001</t>
  </si>
  <si>
    <t>Production Project</t>
  </si>
  <si>
    <t>Confirm the active Supabase project before catalog inspection.</t>
  </si>
  <si>
    <t>Project must be home-maintenance-app / tawvchmjtkgykwwvnnnn.</t>
  </si>
  <si>
    <t>DBV-BROKER-001</t>
  </si>
  <si>
    <t>Abandoned Broker</t>
  </si>
  <si>
    <t>Verify no new Meals dependency/reference to planner_curated_api or planner_broker_access_token_hook.</t>
  </si>
  <si>
    <t>No dependency/reference is present.</t>
  </si>
  <si>
    <t>Scenario ID</t>
  </si>
  <si>
    <t>Scenario</t>
  </si>
  <si>
    <t>Primary Requirement IDs</t>
  </si>
  <si>
    <t>Steps</t>
  </si>
  <si>
    <t>Cleanup / Reset</t>
  </si>
  <si>
    <t>E2E-00</t>
  </si>
  <si>
    <t>Meals authentication, routing, and navigation</t>
  </si>
  <si>
    <t>ARCH-001 through ARCH-006; NAV-*</t>
  </si>
  <si>
    <t>Production-equivalent authenticated routing is available.</t>
  </si>
  <si>
    <t>1. Sign out and attempt /meals and private nested routes.
2. Confirm no private Meals data initializes.
3. Sign in as designated owner.
4. Open Meals and confirm redirect to /meals/recipes.
5. Switch Recipes/Shopping.
6. Refresh a nested route.</t>
  </si>
  <si>
    <t>Owner navigation works; logged-out access does not expose private data; nested routing remains usable.</t>
  </si>
  <si>
    <t>E2E-01</t>
  </si>
  <si>
    <t>Create, find, view, edit, favorite and delete a manual Recipe</t>
  </si>
  <si>
    <t>RE-*, RL-*, RD-*</t>
  </si>
  <si>
    <t>Authenticated owner; Phase 1 database foundation deployed.</t>
  </si>
  <si>
    <t>1. Create a Recipe using Title and ingredient/instruction blocks.
2. Locate it using Recipe Library search.
3. Open Recipe Detail.
4. Toggle Favorite in place.
5. Edit the Recipe and save.
6. Confirm updated values.
7. Delete the Recipe and confirm deletion.</t>
  </si>
  <si>
    <t>The Recipe lifecycle behaves according to Phase 1 requirements and persists only for the owner.</t>
  </si>
  <si>
    <t>Remove Recipes, Shopping items/categories, and planned meals created by the scenario unless deletion is part of the scenario.</t>
  </si>
  <si>
    <t>E2E-02</t>
  </si>
  <si>
    <t>Search and combined Recipe filters</t>
  </si>
  <si>
    <t>RL-FUNC-001 through RL-FUNC-018</t>
  </si>
  <si>
    <t>Representative Recipes span multiple Categories, Cuisines, favorites, titles and ingredients.</t>
  </si>
  <si>
    <t>1. Search by title substring.
2. Search by ingredient substring.
3. Apply Category, Cuisine and Favorites together.
4. Clear criteria.</t>
  </si>
  <si>
    <t>Results use case-insensitive substring search and AND logic; zero matches differ from a truly empty library.</t>
  </si>
  <si>
    <t>E2E-03</t>
  </si>
  <si>
    <t>Recipe to Shopping List</t>
  </si>
  <si>
    <t>ASL-*, SHOP-*</t>
  </si>
  <si>
    <t>Authenticated owner; one Recipe contains multiple ingredient sections.</t>
  </si>
  <si>
    <t>1. Open Recipe Detail.
2. Add to Shopping List.
3. Clear all and confirm Add disabled.
4. Select a subset.
5. Add to List.
6. Open Shopping.</t>
  </si>
  <si>
    <t>Only selected nonblank ingredient lines are added verbatim as new unchecked items and categorized without deduplication.</t>
  </si>
  <si>
    <t>E2E-04</t>
  </si>
  <si>
    <t>Manual Shopping item through checkout/clear</t>
  </si>
  <si>
    <t>SHOP-FUNC-003 through SHOP-FUNC-027</t>
  </si>
  <si>
    <t>Authenticated owner; Shopping categories available.</t>
  </si>
  <si>
    <t>1. Add a manual item.
2. Verify/override category.
3. Edit item text.
4. Check it.
5. Verify checked ordering/collapse behavior by platform.
6. Clear Checked.
7. Confirm Clear Checked has no confirmation.
8. Add items and select Clear List; cancel and confirm items remain.
9. Repeat Clear List and confirm deletion.
10. Confirm custom categories remain.</t>
  </si>
  <si>
    <t>Manual item lifecycle and platform-specific Shopping behavior match requirements.</t>
  </si>
  <si>
    <t>E2E-05</t>
  </si>
  <si>
    <t>Recipe to Weekly Planner</t>
  </si>
  <si>
    <t>PLAN-*, WP-*</t>
  </si>
  <si>
    <t>Authenticated owner; Recipe exists.</t>
  </si>
  <si>
    <t>1. Plan Recipe for a selected date and meal.
2. Use View in Planner.
3. Confirm Planner opens the relevant week.
4. Confirm correct Breakfast/Lunch/Dinner row and linked title.</t>
  </si>
  <si>
    <t>Recipe appears as a meal entry in the mapped Planner period without becoming a Planner task.</t>
  </si>
  <si>
    <t>E2E-06</t>
  </si>
  <si>
    <t>Planner-first Recipe and free-text entry</t>
  </si>
  <si>
    <t>WP-*, PM-*</t>
  </si>
  <si>
    <t>Authenticated owner; Recipes exist; open Weekly Planner.</t>
  </si>
  <si>
    <t>1. Add meal from an empty row.
2. Search/select Recipe.
3. Add another free-text item.
4. Verify insertion order and mixed display.</t>
  </si>
  <si>
    <t>Both entry types coexist in the same meal slot and remain distinct from tasks.</t>
  </si>
  <si>
    <t>E2E-07</t>
  </si>
  <si>
    <t>Manage existing Planner meal entries</t>
  </si>
  <si>
    <t>PM-FUNC-001 through PM-FUNC-007</t>
  </si>
  <si>
    <t>Planner contains recipe-linked and free-text entries.</t>
  </si>
  <si>
    <t>1. Open recipe-linked item actions and View.
2. Return and Remove occurrence.
3. Edit free text using Save/Cancel.
4. Remove free-text occurrence.</t>
  </si>
  <si>
    <t>View/Edit/Remove behaviors work without unnecessary confirmations and do not delete Recipes.</t>
  </si>
  <si>
    <t>E2E-08</t>
  </si>
  <si>
    <t>Delete scheduled Recipe</t>
  </si>
  <si>
    <t>RL-FUNC-020, PM-FUNC-008 through PM-FUNC-010</t>
  </si>
  <si>
    <t>Recipe is scheduled at least once.</t>
  </si>
  <si>
    <t>1. Delete Recipe.
2. Observe delete warning.
3. Open Planner occurrence.
4. Edit converted text.</t>
  </si>
  <si>
    <t>Scheduled occurrence survives as editable free text and no longer behaves as a Recipe link.</t>
  </si>
  <si>
    <t>None for deleted Recipe; remove remaining converted Planner text entry after verification.</t>
  </si>
  <si>
    <t>E2E-09</t>
  </si>
  <si>
    <t>Rename scheduled Recipe</t>
  </si>
  <si>
    <t>1. Edit Recipe title.
2. Return to Planner week.</t>
  </si>
  <si>
    <t>Recipe-linked Planner entry displays the current Recipe title.</t>
  </si>
  <si>
    <t>E2E-10</t>
  </si>
  <si>
    <t>Manage Recipe Category and Cuisine values</t>
  </si>
  <si>
    <t>RE-FUNC-001 through RE-FUNC-004; RE-FUNC-014; RE-FUNC-015</t>
  </si>
  <si>
    <t>Authenticated owner; Recipe Editor available.</t>
  </si>
  <si>
    <t>1. Create a Category and Cuisine while adding a Recipe.
2. Save and confirm values appear in later selectors.
3. Rename one value and confirm existing Recipe display updates.
4. Attempt deletion while referenced and confirm blocked.
5. Reassign Recipe and delete unused value.</t>
  </si>
  <si>
    <t>Reusable classification values persist, rename consistently, and cannot be deleted while in use.</t>
  </si>
  <si>
    <t>Delete test Recipe and unused test classification values.</t>
  </si>
  <si>
    <t>E2E-11</t>
  </si>
  <si>
    <t>Manage predefined and custom Shopping categories</t>
  </si>
  <si>
    <t>SHOP-FUNC-007; SHOP-FUNC-021 through SHOP-FUNC-027</t>
  </si>
  <si>
    <t>Authenticated owner; Shopping available.</t>
  </si>
  <si>
    <t>1. Confirm predefined categories appear in configured order and cannot be renamed/deleted.
2. Create custom category and confirm it follows predefined categories.
3. Rename it.
4. Assign an item to it.
5. Confirm deletion is blocked while in use.
6. Reassign/remove item and delete category.</t>
  </si>
  <si>
    <t>Predefined categories remain protected; custom lifecycle and ordering follow requirements.</t>
  </si>
  <si>
    <t>Remove the test Shopping item and custom category.</t>
  </si>
  <si>
    <t>Requirement</t>
  </si>
  <si>
    <t>Coverage Method</t>
  </si>
  <si>
    <t>Test Location</t>
  </si>
  <si>
    <t>Test ID / Check ID</t>
  </si>
  <si>
    <t>Current Test Status</t>
  </si>
  <si>
    <t>Last Tested Date</t>
  </si>
  <si>
    <t>Evidence Reference</t>
  </si>
  <si>
    <t>Coverage Status</t>
  </si>
  <si>
    <t>Security Test</t>
  </si>
  <si>
    <t>Covered</t>
  </si>
  <si>
    <t>Database Check</t>
  </si>
  <si>
    <t>ARCH-011</t>
  </si>
  <si>
    <t>Weekly Planner shall present meal-plan data alongside existing Planner content without converting meal entries into planner_weekly_tasks or other Planner task records.</t>
  </si>
  <si>
    <t>Implementation Review</t>
  </si>
  <si>
    <t>Cross-cutting / Implementation Gate</t>
  </si>
  <si>
    <t>Gate requirement</t>
  </si>
  <si>
    <t>Functional Test</t>
  </si>
  <si>
    <t>NAV-008</t>
  </si>
  <si>
    <t>Recipe Import routing may be reserved but must remain inactive/deferred until import scope is approved.</t>
  </si>
  <si>
    <t>Deferred Investigation</t>
  </si>
  <si>
    <t>Deferred / Investigation</t>
  </si>
  <si>
    <t>SEC</t>
  </si>
  <si>
    <t>IMP-INV-001</t>
  </si>
  <si>
    <t>INV</t>
  </si>
  <si>
    <t>The investigation shall determine how recipe webpages can be retrieved safely within the production architecture.</t>
  </si>
  <si>
    <t>IMP-INV-002</t>
  </si>
  <si>
    <t>The investigation shall determine how recipe title, ingredients/sections, instructions, source, and other supported fields can be detected/extracted.</t>
  </si>
  <si>
    <t>IMP-INV-003</t>
  </si>
  <si>
    <t>The investigation shall evaluate reliability across representative recipe websites.</t>
  </si>
  <si>
    <t>IMP-INV-004</t>
  </si>
  <si>
    <t>The investigation shall identify security implications of retrieving arbitrary external URLs.</t>
  </si>
  <si>
    <t>IMP-INV-005</t>
  </si>
  <si>
    <t>The investigation shall compare implementation/deployment complexity with the value added over manual entry.</t>
  </si>
  <si>
    <t>IMP-FUNC-001</t>
  </si>
  <si>
    <t>COND</t>
  </si>
  <si>
    <t>If import is approved, extracted content shall be reviewed before persistence and nothing shall be saved until Save Recipe is explicitly selected.</t>
  </si>
  <si>
    <t>IMP-FUNC-002</t>
  </si>
  <si>
    <t>If import is approved, partial extraction containing useful data shall be reviewable rather than automatically treated as failure.</t>
  </si>
  <si>
    <t>IMP-FUNC-003</t>
  </si>
  <si>
    <t>If import is approved, Import Review shall use the same core editor model as manual Add/Edit.</t>
  </si>
  <si>
    <t>IMP-INV-006</t>
  </si>
  <si>
    <t>Recipe Import technical investigation shall occur after Phase 1 Recipe Core is accepted so it can evaluate extraction against the known-good Recipe Editor/data model.</t>
  </si>
  <si>
    <t>IMP-INV-007</t>
  </si>
  <si>
    <t>Recipe Import shall not block completion or acceptance of Phase 1 Recipe Core.</t>
  </si>
  <si>
    <t>P0-TECH-001</t>
  </si>
  <si>
    <t>MEALS-DEF-001</t>
  </si>
  <si>
    <t>Executed routing/auth regressions and local browser synthetic-transport checks. Meals mounts under the unchanged existing exact-owner boundary/controller; no separate Meals login or data subsystem.</t>
  </si>
  <si>
    <t>Executed browser source/production-build inspection: no service-role JWT, privileged secret-key literal or private-key material exposed by Meals. Normal production build excludes synthetic Auth fixture.</t>
  </si>
  <si>
    <t>Executed source/build inspection: no broker role, hook, abandoned identity or broker dependency in Meals. No Meals database objects exist in this slice; no catalog/security grant claim for future objects.</t>
  </si>
  <si>
    <t>Foundation built/tested without broker cleanup or managed-default remediation. Broker artifacts and production configuration unchanged.</t>
  </si>
  <si>
    <t>Executed actual production-build secret inspection and affected source inspection. No privileged credential introduced; only existing public client configuration used.</t>
  </si>
  <si>
    <t>Executed source/build broker-independence checks. Source-only Phase 0A scope: no new catalog objects, migrations or SQL; future catalog authorization checks remain outstanding.</t>
  </si>
  <si>
    <t>spec/meals/README.md#phase-0a-technical-evidence; web release validation: spec/meals/README.md#web-release-validation</t>
  </si>
  <si>
    <t>P0-UAT-001</t>
  </si>
  <si>
    <t>spec/meals/README.md#phase-0a-technical-evidence; P0-UAT-001: designated owner reported live Life Manager UAT PASS on 2026-10-28; release 8298e2e0797ddff7d2d53cc058fa41fb407ac0ab; recorded by Copilot from owner report, not automated authenticated verification</t>
  </si>
  <si>
    <t>Top-level Meals link technically validated; owner UAT remains. MEALS-DEF-001 CLOSED: initial workbook date marshaling failed before save; original bytes preserved. COM variant setter fixed and isolated-copy dated-update/integrity tests passed. Local dev base 07fee6170fd48880d4bde57e13d05e65c3cbbc0c.; P0-UAT-001 owner report: Meals appeared in live navigation; navigation/routing, desktop and mobile responsive presentation, and complete E2E-00 passed; everything else worked as expected. Add Recipe is intentionally nonfunctional in Phase 0A; Recipe Editor is Phase 1, not a defect or future-feature acceptance. Prior technical run P0-TECH-001 and its evidence remain above. Mobile result is live-web UAT, not a native Capacitor release.</t>
  </si>
  <si>
    <t>Recipes/Shopping switching and active states technically verified. Non-data-backed Phase 0A placeholders only; owner UAT remains.; P0-UAT-001 owner report: Meals appeared in live navigation; navigation/routing, desktop and mobile responsive presentation, and complete E2E-00 passed; everything else worked as expected. Add Recipe is intentionally nonfunctional in Phase 0A; Recipe Editor is Phase 1, not a defect or future-feature acceptance. Prior technical run P0-TECH-001 and its evidence remain above. Mobile result is live-web UAT, not a native Capacitor release.</t>
  </si>
  <si>
    <t>Explicit /meals namespace and unknown/nested Meals isolation tested; /cooking not introduced. Owner UAT remains.; P0-UAT-001 owner report: Meals appeared in live navigation; navigation/routing, desktop and mobile responsive presentation, and complete E2E-00 passed; everything else worked as expected. Add Recipe is intentionally nonfunctional in Phase 0A; Recipe Editor is Phase 1, not a defect or future-feature acceptance. Prior technical run P0-TECH-001 and its evidence remain above. Mobile result is live-web UAT, not a native Capacitor release.</t>
  </si>
  <si>
    <t>/meals/recipes foundation route tested beneath actual hosted basename; no Recipe Library data functionality claimed. Owner UAT remains.; P0-UAT-001 owner report: Meals appeared in live navigation; navigation/routing, desktop and mobile responsive presentation, and complete E2E-00 passed; everything else worked as expected. Add Recipe is intentionally nonfunctional in Phase 0A; Recipe Editor is Phase 1, not a defect or future-feature acceptance. Prior technical run P0-TECH-001 and its evidence remain above. Mobile result is live-web UAT, not a native Capacitor release.</t>
  </si>
  <si>
    <t>/meals replacement redirect to /meals/recipes verified in local browser with the real router and synthetic Auth transport. Owner UAT remains.; P0-UAT-001 owner report: Meals appeared in live navigation; navigation/routing, desktop and mobile responsive presentation, and complete E2E-00 passed; everything else worked as expected. Add Recipe is intentionally nonfunctional in Phase 0A; Recipe Editor is Phase 1, not a defect or future-feature acceptance. Prior technical run P0-TECH-001 and its evidence remain above. Mobile result is live-web UAT, not a native Capacitor release.</t>
  </si>
  <si>
    <t>Shared shell at 1280px: no horizontal overflow, correct active links, 44px internal navigation. Desktop screenshot inspected; owner visual/usability UAT remains.; P0-UAT-001 owner report: Meals appeared in live navigation; navigation/routing, desktop and mobile responsive presentation, and complete E2E-00 passed; everything else worked as expected. Add Recipe is intentionally nonfunctional in Phase 0A; Recipe Editor is Phase 1, not a defect or future-feature acceptance. Prior technical run P0-TECH-001 and its evidence remain above. Mobile result is live-web UAT, not a native Capacitor release.</t>
  </si>
  <si>
    <t>Same responsive shell at 375px: no horizontal overflow, wrapped navigation, 44px internal controls. Mobile browser screenshot inspected; physical Capacitor/device UAT remains.; P0-UAT-001 owner report: Meals appeared in live navigation; navigation/routing, desktop and mobile responsive presentation, and complete E2E-00 passed; everything else worked as expected. Add Recipe is intentionally nonfunctional in Phase 0A; Recipe Editor is Phase 1, not a defect or future-feature acceptance. Prior technical run P0-TECH-001 and its evidence remain above. Mobile result is live-web UAT, not a native Capacitor release.</t>
  </si>
  <si>
    <t>Remove any incidental test data; sign out if appropriate.; P0-UAT-001 owner report: Meals appeared in live navigation; navigation/routing, desktop and mobile responsive presentation, and complete E2E-00 passed; everything else worked as expected. Add Recipe is intentionally nonfunctional in Phase 0A; Recipe Editor is Phase 1, not a defect or future-feature acceptance. Prior technical run P0-TECH-001 and its evidence remain above. Mobile result is live-web UAT, not a native Capacitor release.</t>
  </si>
  <si>
    <t>Accepted</t>
  </si>
  <si>
    <t>2026-10-28</t>
  </si>
  <si>
    <t>Phase 0A Meals foundation accepted. Live web routing, navigation, owner-auth integration, responsive shell, nested route refresh, and E2E-00 passed. Acceptance includes the Acceptance Workbook update tooling and Phase 0A release/deployment infrastructure. Recipe persistence, Recipe functionality beyond the Phase 0A shell/placeholders (including Add/Edit), Shopping functionality/persistence, meal-plan persistence, Weekly Planner meal integration, Recipe Import, future Meals database objects, and future Meals database-security/catalog verification remain outside this acceptance and are not yet accepted. Owner explicitly authorized this scope-limited acceptance on 2026-10-28 following P0-UAT-001.</t>
  </si>
  <si>
    <t>P0B-DB-001</t>
  </si>
  <si>
    <t>202610280001_meals_recipe_foundation.sql</t>
  </si>
  <si>
    <t>dev @ 0d30359ab5cdd4aa3577c33823de1bbc80a3d4f2</t>
  </si>
  <si>
    <t>P0B-DB-001; package 0d30359ab5cdd4aa3577c33823de1bbc80a3d4f2; spec/meals/Phase 0B Recipe Persistence Design.md section 28; meals-db-final-manifest.json SHA256 4cbbc3eac24c13860d39ee3a0d8c6ae79c638cc5967d5274d1e7ea219091f8da; complete evidence in session b7458d86-6190-4718-8779-7c2b79a30630/files</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</si>
  <si>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effective_anon_denial and function_acl passed; production synthetic anon SELECT/INSERT/UPDATE/DELETE denied on all three tables.</t>
  </si>
  <si>
    <t>P0B-PREFLIGHT-001: meals-0b-production-preflight-manifest.json; complete catalog/supplement JSON and CSV evidence in session b7458d86-6190-4718-8779-7c2b79a30630/files; Dashboard-verified home-maintenance-app / tawvchmjtkgykwwvnnnn
P0B-DB-001; package 0d30359ab5cdd4aa3577c33823de1bbc80a3d4f2; spec/meals/Phase 0B Recipe Persistence Design.md section 28; meals-db-final-manifest.json SHA256 4cbbc3eac24c13860d39ee3a0d8c6ae79c638cc5967d5274d1e7ea219091f8da; complete evidence in session b7458d86-6190-4718-8779-7c2b79a30630/files</t>
  </si>
  <si>
    <t>P0B-PREFLIGHT-001 preflight-only: authenticated Dashboard identity, PostgreSQL 17.11, postgres object ownership/CREATE authority, browser-role safety, zero Meals collisions/dependencies and informational defaults captured. Canonical Category/Cuisine draft and local tests updated. No migration or production postflight executed; no database check marked Pass. Status Not Built and stage Both retained; post-deployment object ACL/RLS/owner and broker-independence checks remain required. Disabled reversal prepared, not executed. No Phase 0A UAT/acceptance or future owner decision changed.
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explicit_table_acl, column_acl, function_acl and browser_role_safety passed; object ACLs explicitly reset; no dependence on managed defaults.</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</si>
  <si>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Exact inventory has direct tables and an internal non-browser trigger only; no CRUD RPC. Production synthetic owner CRUD passed.</t>
  </si>
  <si>
    <t>P0B-PREFLIGHT-001 preflight-only: authenticated Dashboard identity, PostgreSQL 17.11, postgres object ownership/CREATE authority, browser-role safety, zero Meals collisions/dependencies and informational defaults captured. Canonical Category/Cuisine draft and local tests updated. No migration or production postflight executed; no database check marked Pass. Status Not Built and stage Both retained; post-deployment object ACL/RLS/owner and broker-independence checks remain required. Disabled reversal prepared, not executed. No Phase 0A UAT/acceptance or future owner decision changed.
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tables_owner_rls and function_security passed: all new tables/function postgres-owned.</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</si>
  <si>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tables_owner_rls passed: RLS enabled on all three browser-accessible Recipe tables.</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</si>
  <si>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explicit_table_acl, effective_anon_denial, function_acl and column_acl passed: no unintended PUBLIC/anon private access.</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</si>
  <si>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Table/column ACL matrix passed: authenticated SELECT/DELETE and reviewed INSERT/UPDATE columns only.</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</si>
  <si>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policy_matrix passed: exactly 12 operation policies, authenticated role, exact-owner UUID, correct USING/WITH CHECK; synthetic non-owner/null subject denied.</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</si>
  <si>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All 20 reviewed postflight checks passed; exact relation/type/column/default/index/constraint/trigger/function/ACL/RLS inventory captured.</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</si>
  <si>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Ownership and explicit/effective ACL checks passed; no unexpected owner or unexplained grant detected.</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</si>
  <si>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Source inspection and no_unreviewed_role_dependencies passed; no Meals broker dependency. Existing unrelated remnants untouched.</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</si>
  <si>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Dashboard URL, title and project link independently verified home-maintenance-app / tawvchmjtkgykwwvnnnn before preflight and execution.</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</si>
  <si>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Catalog defaults/function body and production synthetic server-timestamp/column-write-denial assertions passed.</t>
  </si>
  <si>
    <t>P0B-PREFLIGHT-001 preflight-only: authenticated Dashboard identity, PostgreSQL 17.11, postgres object ownership/CREATE authority, browser-role safety, zero Meals collisions/dependencies and informational defaults captured. Canonical Category/Cuisine draft and local tests updated. No migration or production postflight executed; no database check marked Pass. Status Not Built and stage Both retained; post-deployment object ACL/RLS/owner and broker-independence checks remain required. Disabled reversal prepared, not executed. No Phase 0A UAT/acceptance or future owner decision changed.
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Exact Dashboard project identity verified before relying on catalog evidence.</t>
  </si>
  <si>
    <t>P0B-PREFLIGHT-001 preflight-only: authenticated Dashboard identity, PostgreSQL 17.11, postgres object ownership/CREATE authority, browser-role safety, zero Meals collisions/dependencies and informational defaults captured. Canonical Category/Cuisine draft and local tests updated. No migration or production postflight executed; no database check marked Pass. Status Not Built and stage Both retained; post-deployment object ACL/RLS/owner and broker-independence checks remain required. Disabled reversal prepared, not executed. No Phase 0A UAT/acceptance or future owner decision changed.
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Catalog/source have no new Meals broker dependency; no broker cleanup performed.</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</si>
  <si>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Owner identity confirmed by preflight and exact UUID in all 12 deployed policies.</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</si>
  <si>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Explicit table/column/function ACLs passed; source and catalog do not rely on defaults.</t>
  </si>
  <si>
    <t>P0B-DB-001 Recipe foundation scope only. Captured production catalog and synthetic SQL SET ROLE/claim evidence, not live JWT/API authentication, owner application UAT or Recipe UI evidence. Future Meals objects require their own verification. No deployment blocker observed; blocker classification field is unchanged. Reversal prepared, not executed; test-only transaction rollback is not migration reversal. Production postflight effective_anon_denial/explicit_table_acl/function_acl/column_acl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</si>
</sst>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20"/>
      <color rgb="FF1F4E78"/>
      <name val="Calibri"/>
    </font>
    <font>
      <b/>
      <sz val="11"/>
      <name val="Calibri"/>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wrapText="1"/>
    </xf>
    <xf numFmtId="0" fontId="1" fillId="0" borderId="0" xfId="0" applyFont="1" applyAlignment="1">
      <alignment vertical="center" wrapText="1"/>
    </xf>
    <xf numFmtId="0" fontId="0" fillId="0" borderId="0" xfId="0" applyAlignment="1">
      <alignment vertical="center" wrapText="1"/>
    </xf>
    <xf numFmtId="0" fontId="3" fillId="2" borderId="0" xfId="0" applyFont="1" applyFill="1" applyAlignment="1">
      <alignment vertical="center" wrapText="1"/>
    </xf>
    <xf numFmtId="164" fontId="0" fillId="0" borderId="0" xfId="0" applyNumberFormat="1" applyAlignment="1">
      <alignment vertical="top" wrapText="1"/>
    </xf>
    <xf numFmtId="0" fontId="3" fillId="2" borderId="0" xfId="0" applyFont="1" applyFill="1" applyAlignment="1">
      <alignment vertical="top" wrapText="1"/>
    </xf>
  </cellXfs>
  <cellStyles count="1">
    <cellStyle name="Normal" xfId="0" builtinId="0"/>
  </cellStyles>
  <dxfs count="64">
    <dxf>
      <fill>
        <patternFill patternType="solid">
          <fgColor rgb="FFE7E6E6"/>
        </patternFill>
      </fill>
    </dxf>
    <dxf>
      <fill>
        <patternFill patternType="solid">
          <fgColor rgb="FFE7E6E6"/>
        </patternFill>
      </fill>
    </dxf>
    <dxf>
      <fill>
        <patternFill patternType="solid">
          <fgColor rgb="FFFCE5CD"/>
        </patternFill>
      </fill>
    </dxf>
    <dxf>
      <fill>
        <patternFill patternType="solid">
          <fgColor rgb="FFDDEBF7"/>
        </patternFill>
      </fill>
    </dxf>
    <dxf>
      <fill>
        <patternFill patternType="solid">
          <fgColor rgb="FFD9EAD3"/>
        </patternFill>
      </fill>
    </dxf>
    <dxf>
      <fill>
        <patternFill patternType="solid">
          <fgColor rgb="FFFFD966"/>
        </patternFill>
      </fill>
    </dxf>
    <dxf>
      <fill>
        <patternFill patternType="solid">
          <fgColor rgb="FFFFC7CE"/>
        </patternFill>
      </fill>
    </dxf>
    <dxf>
      <fill>
        <patternFill patternType="solid">
          <fgColor rgb="FFC6EFCE"/>
        </patternFill>
      </fill>
    </dxf>
    <dxf>
      <fill>
        <patternFill patternType="solid">
          <fgColor rgb="FFE7E6E6"/>
        </patternFill>
      </fill>
    </dxf>
    <dxf>
      <fill>
        <patternFill patternType="solid">
          <fgColor rgb="FFE7E6E6"/>
        </patternFill>
      </fill>
    </dxf>
    <dxf>
      <fill>
        <patternFill patternType="solid">
          <fgColor rgb="FFFCE5CD"/>
        </patternFill>
      </fill>
    </dxf>
    <dxf>
      <fill>
        <patternFill patternType="solid">
          <fgColor rgb="FFDDEBF7"/>
        </patternFill>
      </fill>
    </dxf>
    <dxf>
      <fill>
        <patternFill patternType="solid">
          <fgColor rgb="FFD9EAD3"/>
        </patternFill>
      </fill>
    </dxf>
    <dxf>
      <fill>
        <patternFill patternType="solid">
          <fgColor rgb="FFFFD966"/>
        </patternFill>
      </fill>
    </dxf>
    <dxf>
      <fill>
        <patternFill patternType="solid">
          <fgColor rgb="FFFFC7CE"/>
        </patternFill>
      </fill>
    </dxf>
    <dxf>
      <fill>
        <patternFill patternType="solid">
          <fgColor rgb="FFC6EFCE"/>
        </patternFill>
      </fill>
    </dxf>
    <dxf>
      <fill>
        <patternFill patternType="solid">
          <fgColor rgb="FFE7E6E6"/>
        </patternFill>
      </fill>
    </dxf>
    <dxf>
      <fill>
        <patternFill patternType="solid">
          <fgColor rgb="FFE7E6E6"/>
        </patternFill>
      </fill>
    </dxf>
    <dxf>
      <fill>
        <patternFill patternType="solid">
          <fgColor rgb="FFFCE5CD"/>
        </patternFill>
      </fill>
    </dxf>
    <dxf>
      <fill>
        <patternFill patternType="solid">
          <fgColor rgb="FFDDEBF7"/>
        </patternFill>
      </fill>
    </dxf>
    <dxf>
      <fill>
        <patternFill patternType="solid">
          <fgColor rgb="FFD9EAD3"/>
        </patternFill>
      </fill>
    </dxf>
    <dxf>
      <fill>
        <patternFill patternType="solid">
          <fgColor rgb="FFFFD966"/>
        </patternFill>
      </fill>
    </dxf>
    <dxf>
      <fill>
        <patternFill patternType="solid">
          <fgColor rgb="FFFFC7CE"/>
        </patternFill>
      </fill>
    </dxf>
    <dxf>
      <fill>
        <patternFill patternType="solid">
          <fgColor rgb="FFC6EFCE"/>
        </patternFill>
      </fill>
    </dxf>
    <dxf>
      <fill>
        <patternFill patternType="solid">
          <fgColor rgb="FFE7E6E6"/>
        </patternFill>
      </fill>
    </dxf>
    <dxf>
      <fill>
        <patternFill patternType="solid">
          <fgColor rgb="FFE7E6E6"/>
        </patternFill>
      </fill>
    </dxf>
    <dxf>
      <fill>
        <patternFill patternType="solid">
          <fgColor rgb="FFFCE5CD"/>
        </patternFill>
      </fill>
    </dxf>
    <dxf>
      <fill>
        <patternFill patternType="solid">
          <fgColor rgb="FFDDEBF7"/>
        </patternFill>
      </fill>
    </dxf>
    <dxf>
      <fill>
        <patternFill patternType="solid">
          <fgColor rgb="FFD9EAD3"/>
        </patternFill>
      </fill>
    </dxf>
    <dxf>
      <fill>
        <patternFill patternType="solid">
          <fgColor rgb="FFFFD966"/>
        </patternFill>
      </fill>
    </dxf>
    <dxf>
      <fill>
        <patternFill patternType="solid">
          <fgColor rgb="FFFFC7CE"/>
        </patternFill>
      </fill>
    </dxf>
    <dxf>
      <fill>
        <patternFill patternType="solid">
          <fgColor rgb="FFC6EFCE"/>
        </patternFill>
      </fill>
    </dxf>
    <dxf>
      <fill>
        <patternFill patternType="solid">
          <fgColor rgb="FFE7E6E6"/>
        </patternFill>
      </fill>
    </dxf>
    <dxf>
      <fill>
        <patternFill patternType="solid">
          <fgColor rgb="FFE7E6E6"/>
        </patternFill>
      </fill>
    </dxf>
    <dxf>
      <fill>
        <patternFill patternType="solid">
          <fgColor rgb="FFFCE5CD"/>
        </patternFill>
      </fill>
    </dxf>
    <dxf>
      <fill>
        <patternFill patternType="solid">
          <fgColor rgb="FFDDEBF7"/>
        </patternFill>
      </fill>
    </dxf>
    <dxf>
      <fill>
        <patternFill patternType="solid">
          <fgColor rgb="FFD9EAD3"/>
        </patternFill>
      </fill>
    </dxf>
    <dxf>
      <fill>
        <patternFill patternType="solid">
          <fgColor rgb="FFFFD966"/>
        </patternFill>
      </fill>
    </dxf>
    <dxf>
      <fill>
        <patternFill patternType="solid">
          <fgColor rgb="FFFFC7CE"/>
        </patternFill>
      </fill>
    </dxf>
    <dxf>
      <fill>
        <patternFill patternType="solid">
          <fgColor rgb="FFC6EFCE"/>
        </patternFill>
      </fill>
    </dxf>
    <dxf>
      <fill>
        <patternFill patternType="solid">
          <fgColor rgb="FFE7E6E6"/>
        </patternFill>
      </fill>
    </dxf>
    <dxf>
      <fill>
        <patternFill patternType="solid">
          <fgColor rgb="FFE7E6E6"/>
        </patternFill>
      </fill>
    </dxf>
    <dxf>
      <fill>
        <patternFill patternType="solid">
          <fgColor rgb="FFFCE5CD"/>
        </patternFill>
      </fill>
    </dxf>
    <dxf>
      <fill>
        <patternFill patternType="solid">
          <fgColor rgb="FFDDEBF7"/>
        </patternFill>
      </fill>
    </dxf>
    <dxf>
      <fill>
        <patternFill patternType="solid">
          <fgColor rgb="FFD9EAD3"/>
        </patternFill>
      </fill>
    </dxf>
    <dxf>
      <fill>
        <patternFill patternType="solid">
          <fgColor rgb="FFFFD966"/>
        </patternFill>
      </fill>
    </dxf>
    <dxf>
      <fill>
        <patternFill patternType="solid">
          <fgColor rgb="FFFFC7CE"/>
        </patternFill>
      </fill>
    </dxf>
    <dxf>
      <fill>
        <patternFill patternType="solid">
          <fgColor rgb="FFC6EFCE"/>
        </patternFill>
      </fill>
    </dxf>
    <dxf>
      <fill>
        <patternFill patternType="solid">
          <fgColor rgb="FFE7E6E6"/>
        </patternFill>
      </fill>
    </dxf>
    <dxf>
      <fill>
        <patternFill patternType="solid">
          <fgColor rgb="FFE7E6E6"/>
        </patternFill>
      </fill>
    </dxf>
    <dxf>
      <fill>
        <patternFill patternType="solid">
          <fgColor rgb="FFFCE5CD"/>
        </patternFill>
      </fill>
    </dxf>
    <dxf>
      <fill>
        <patternFill patternType="solid">
          <fgColor rgb="FFDDEBF7"/>
        </patternFill>
      </fill>
    </dxf>
    <dxf>
      <fill>
        <patternFill patternType="solid">
          <fgColor rgb="FFD9EAD3"/>
        </patternFill>
      </fill>
    </dxf>
    <dxf>
      <fill>
        <patternFill patternType="solid">
          <fgColor rgb="FFFFD966"/>
        </patternFill>
      </fill>
    </dxf>
    <dxf>
      <fill>
        <patternFill patternType="solid">
          <fgColor rgb="FFFFC7CE"/>
        </patternFill>
      </fill>
    </dxf>
    <dxf>
      <fill>
        <patternFill patternType="solid">
          <fgColor rgb="FFC6EFCE"/>
        </patternFill>
      </fill>
    </dxf>
    <dxf>
      <fill>
        <patternFill patternType="solid">
          <fgColor rgb="FFE7E6E6"/>
        </patternFill>
      </fill>
    </dxf>
    <dxf>
      <fill>
        <patternFill patternType="solid">
          <fgColor rgb="FFE7E6E6"/>
        </patternFill>
      </fill>
    </dxf>
    <dxf>
      <fill>
        <patternFill patternType="solid">
          <fgColor rgb="FFFCE5CD"/>
        </patternFill>
      </fill>
    </dxf>
    <dxf>
      <fill>
        <patternFill patternType="solid">
          <fgColor rgb="FFDDEBF7"/>
        </patternFill>
      </fill>
    </dxf>
    <dxf>
      <fill>
        <patternFill patternType="solid">
          <fgColor rgb="FFD9EAD3"/>
        </patternFill>
      </fill>
    </dxf>
    <dxf>
      <fill>
        <patternFill patternType="solid">
          <fgColor rgb="FFFFD966"/>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nctionalAcceptanceTable" displayName="FunctionalAcceptanceTable" ref="A1:P174">
  <autoFilter ref="A1:P174" xr:uid="{00000000-0009-0000-0100-000001000000}"/>
  <tableColumns count="16">
    <tableColumn id="1" xr3:uid="{00000000-0010-0000-0000-000001000000}" name="Test Run ID"/>
    <tableColumn id="2" xr3:uid="{00000000-0010-0000-0000-000002000000}" name="Test ID"/>
    <tableColumn id="3" xr3:uid="{00000000-0010-0000-0000-000003000000}" name="Requirement ID"/>
    <tableColumn id="4" xr3:uid="{00000000-0010-0000-0000-000004000000}" name="Phase"/>
    <tableColumn id="5" xr3:uid="{00000000-0010-0000-0000-000005000000}" name="Feature"/>
    <tableColumn id="6" xr3:uid="{00000000-0010-0000-0000-000006000000}" name="Type"/>
    <tableColumn id="7" xr3:uid="{00000000-0010-0000-0000-000007000000}" name="Platform"/>
    <tableColumn id="8" xr3:uid="{00000000-0010-0000-0000-000008000000}" name="Test Scenario"/>
    <tableColumn id="9" xr3:uid="{00000000-0010-0000-0000-000009000000}" name="Preconditions"/>
    <tableColumn id="10" xr3:uid="{00000000-0010-0000-0000-00000A000000}" name="Test Steps"/>
    <tableColumn id="11" xr3:uid="{00000000-0010-0000-0000-00000B000000}" name="Expected Result"/>
    <tableColumn id="12" xr3:uid="{00000000-0010-0000-0000-00000C000000}" name="Status"/>
    <tableColumn id="13" xr3:uid="{00000000-0010-0000-0000-00000D000000}" name="Tested Date"/>
    <tableColumn id="14" xr3:uid="{00000000-0010-0000-0000-00000E000000}" name="Defect ID"/>
    <tableColumn id="15" xr3:uid="{00000000-0010-0000-0000-00000F000000}" name="Evidence / Build Reference"/>
    <tableColumn id="16" xr3:uid="{00000000-0010-0000-0000-000010000000}" name="Defect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curityAcceptanceTable" displayName="SecurityAcceptanceTable" ref="A1:R23">
  <autoFilter ref="A1:R23" xr:uid="{00000000-0009-0000-0100-000002000000}"/>
  <tableColumns count="18">
    <tableColumn id="1" xr3:uid="{00000000-0010-0000-0100-000001000000}" name="Test Run ID"/>
    <tableColumn id="2" xr3:uid="{00000000-0010-0000-0100-000002000000}" name="Test ID"/>
    <tableColumn id="3" xr3:uid="{00000000-0010-0000-0100-000003000000}" name="Requirement ID"/>
    <tableColumn id="4" xr3:uid="{00000000-0010-0000-0100-000004000000}" name="Phase"/>
    <tableColumn id="5" xr3:uid="{00000000-0010-0000-0100-000005000000}" name="Feature"/>
    <tableColumn id="6" xr3:uid="{00000000-0010-0000-0100-000006000000}" name="Type"/>
    <tableColumn id="7" xr3:uid="{00000000-0010-0000-0100-000007000000}" name="Platform"/>
    <tableColumn id="8" xr3:uid="{00000000-0010-0000-0100-000008000000}" name="Execution Owner"/>
    <tableColumn id="9" xr3:uid="{00000000-0010-0000-0100-000009000000}" name="Environment"/>
    <tableColumn id="10" xr3:uid="{00000000-0010-0000-0100-00000A000000}" name="Test Scenario"/>
    <tableColumn id="11" xr3:uid="{00000000-0010-0000-0100-00000B000000}" name="Preconditions"/>
    <tableColumn id="12" xr3:uid="{00000000-0010-0000-0100-00000C000000}" name="Test Steps"/>
    <tableColumn id="13" xr3:uid="{00000000-0010-0000-0100-00000D000000}" name="Expected Result"/>
    <tableColumn id="14" xr3:uid="{00000000-0010-0000-0100-00000E000000}" name="Status"/>
    <tableColumn id="15" xr3:uid="{00000000-0010-0000-0100-00000F000000}" name="Tested Date"/>
    <tableColumn id="16" xr3:uid="{00000000-0010-0000-0100-000010000000}" name="Defect ID"/>
    <tableColumn id="17" xr3:uid="{00000000-0010-0000-0100-000011000000}" name="Evidence / Build Reference"/>
    <tableColumn id="18" xr3:uid="{00000000-0010-0000-0100-000012000000}" name="Defect /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abaseVerificationTable" displayName="DatabaseVerificationTable" ref="A1:R22">
  <autoFilter ref="A1:R22" xr:uid="{00000000-0009-0000-0100-000003000000}"/>
  <tableColumns count="18">
    <tableColumn id="1" xr3:uid="{00000000-0010-0000-0200-000001000000}" name="Test Run ID"/>
    <tableColumn id="2" xr3:uid="{00000000-0010-0000-0200-000002000000}" name="Check ID"/>
    <tableColumn id="3" xr3:uid="{00000000-0010-0000-0200-000003000000}" name="Requirement ID"/>
    <tableColumn id="4" xr3:uid="{00000000-0010-0000-0200-000004000000}" name="Phase"/>
    <tableColumn id="5" xr3:uid="{00000000-0010-0000-0200-000005000000}" name="Object / Area"/>
    <tableColumn id="6" xr3:uid="{00000000-0010-0000-0200-000006000000}" name="Migration Filename"/>
    <tableColumn id="7" xr3:uid="{00000000-0010-0000-0200-000007000000}" name="Git Commit / Branch"/>
    <tableColumn id="8" xr3:uid="{00000000-0010-0000-0200-000008000000}" name="Target Project"/>
    <tableColumn id="9" xr3:uid="{00000000-0010-0000-0200-000009000000}" name="Verification Stage"/>
    <tableColumn id="10" xr3:uid="{00000000-0010-0000-0200-00000A000000}" name="Verification Date"/>
    <tableColumn id="11" xr3:uid="{00000000-0010-0000-0200-00000B000000}" name="Deployment Blocker?"/>
    <tableColumn id="12" xr3:uid="{00000000-0010-0000-0200-00000C000000}" name="Verification"/>
    <tableColumn id="13" xr3:uid="{00000000-0010-0000-0200-00000D000000}" name="Expected Catalog / Security Result"/>
    <tableColumn id="14" xr3:uid="{00000000-0010-0000-0200-00000E000000}" name="Status"/>
    <tableColumn id="15" xr3:uid="{00000000-0010-0000-0200-00000F000000}" name="Evidence / Export"/>
    <tableColumn id="16" xr3:uid="{00000000-0010-0000-0200-000010000000}" name="Rollback/Reversal Strategy Prepared?"/>
    <tableColumn id="17" xr3:uid="{00000000-0010-0000-0200-000011000000}" name="Rollback Executed?"/>
    <tableColumn id="18" xr3:uid="{00000000-0010-0000-0200-000012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ndToEndTestsTable" displayName="EndToEndTestsTable" ref="A1:O13">
  <autoFilter ref="A1:O13" xr:uid="{00000000-0009-0000-0100-000004000000}"/>
  <tableColumns count="15">
    <tableColumn id="1" xr3:uid="{00000000-0010-0000-0300-000001000000}" name="Test Run ID"/>
    <tableColumn id="2" xr3:uid="{00000000-0010-0000-0300-000002000000}" name="Scenario ID"/>
    <tableColumn id="3" xr3:uid="{00000000-0010-0000-0300-000003000000}" name="Phase"/>
    <tableColumn id="4" xr3:uid="{00000000-0010-0000-0300-000004000000}" name="Platform"/>
    <tableColumn id="5" xr3:uid="{00000000-0010-0000-0300-000005000000}" name="Scenario"/>
    <tableColumn id="6" xr3:uid="{00000000-0010-0000-0300-000006000000}" name="Primary Requirement IDs"/>
    <tableColumn id="7" xr3:uid="{00000000-0010-0000-0300-000007000000}" name="Preconditions"/>
    <tableColumn id="8" xr3:uid="{00000000-0010-0000-0300-000008000000}" name="Steps"/>
    <tableColumn id="9" xr3:uid="{00000000-0010-0000-0300-000009000000}" name="Expected Result"/>
    <tableColumn id="10" xr3:uid="{00000000-0010-0000-0300-00000A000000}" name="Status"/>
    <tableColumn id="11" xr3:uid="{00000000-0010-0000-0300-00000B000000}" name="Tested Date"/>
    <tableColumn id="12" xr3:uid="{00000000-0010-0000-0300-00000C000000}" name="Defect ID"/>
    <tableColumn id="13" xr3:uid="{00000000-0010-0000-0300-00000D000000}" name="Evidence / Build Reference"/>
    <tableColumn id="14" xr3:uid="{00000000-0010-0000-0300-00000E000000}" name="Cleanup / Reset"/>
    <tableColumn id="15" xr3:uid="{00000000-0010-0000-0300-00000F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verageTable" displayName="CoverageTable" ref="A1:O223">
  <autoFilter ref="A1:O223" xr:uid="{00000000-0009-0000-0100-000005000000}"/>
  <tableColumns count="15">
    <tableColumn id="1" xr3:uid="{00000000-0010-0000-0400-000001000000}" name="Requirement ID"/>
    <tableColumn id="2" xr3:uid="{00000000-0010-0000-0400-000002000000}" name="Phase"/>
    <tableColumn id="3" xr3:uid="{00000000-0010-0000-0400-000003000000}" name="Feature"/>
    <tableColumn id="4" xr3:uid="{00000000-0010-0000-0400-000004000000}" name="Type"/>
    <tableColumn id="5" xr3:uid="{00000000-0010-0000-0400-000005000000}" name="Platform"/>
    <tableColumn id="6" xr3:uid="{00000000-0010-0000-0400-000006000000}" name="Requirement"/>
    <tableColumn id="7" xr3:uid="{00000000-0010-0000-0400-000007000000}" name="Coverage Method"/>
    <tableColumn id="8" xr3:uid="{00000000-0010-0000-0400-000008000000}" name="Test Location"/>
    <tableColumn id="9" xr3:uid="{00000000-0010-0000-0400-000009000000}" name="Test ID / Check ID"/>
    <tableColumn id="10" xr3:uid="{00000000-0010-0000-0400-00000A000000}" name="Current Test Status"/>
    <tableColumn id="11" xr3:uid="{00000000-0010-0000-0400-00000B000000}" name="Last Tested Date"/>
    <tableColumn id="12" xr3:uid="{00000000-0010-0000-0400-00000C000000}" name="Defect ID"/>
    <tableColumn id="13" xr3:uid="{00000000-0010-0000-0400-00000D000000}" name="Evidence Reference"/>
    <tableColumn id="14" xr3:uid="{00000000-0010-0000-0400-00000E000000}" name="Coverage Status"/>
    <tableColumn id="15" xr3:uid="{00000000-0010-0000-0400-00000F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tabSelected="1" workbookViewId="0"/>
  </sheetViews>
  <sheetFormatPr defaultRowHeight="15" x14ac:dyDescent="0.25"/>
  <cols>
    <col min="1" max="1" width="28" customWidth="1"/>
    <col min="2" max="2" width="110" customWidth="1"/>
  </cols>
  <sheetData>
    <row r="1" spans="1:2" ht="26.25" customHeight="1" x14ac:dyDescent="0.4">
      <c r="A1" s="1" t="s">
        <v>0</v>
      </c>
    </row>
    <row r="2" spans="1:2" ht="15" customHeight="1" x14ac:dyDescent="0.25">
      <c r="A2" s="2" t="s">
        <v>1</v>
      </c>
      <c r="B2" s="2" t="s">
        <v>2</v>
      </c>
    </row>
    <row r="3" spans="1:2" ht="15" customHeight="1" x14ac:dyDescent="0.25">
      <c r="A3" s="2" t="s">
        <v>3</v>
      </c>
      <c r="B3" s="2" t="s">
        <v>4</v>
      </c>
    </row>
    <row r="4" spans="1:2" ht="15" customHeight="1" x14ac:dyDescent="0.25">
      <c r="A4" s="2"/>
      <c r="B4" s="2"/>
    </row>
    <row r="5" spans="1:2" ht="15" customHeight="1" x14ac:dyDescent="0.25">
      <c r="A5" s="3" t="s">
        <v>5</v>
      </c>
      <c r="B5" s="2"/>
    </row>
    <row r="6" spans="1:2" ht="15" customHeight="1" x14ac:dyDescent="0.25">
      <c r="A6" s="2" t="s">
        <v>6</v>
      </c>
      <c r="B6" s="2" t="s">
        <v>7</v>
      </c>
    </row>
    <row r="7" spans="1:2" ht="15" customHeight="1" x14ac:dyDescent="0.25">
      <c r="A7" s="2" t="s">
        <v>8</v>
      </c>
      <c r="B7" s="2" t="s">
        <v>9</v>
      </c>
    </row>
    <row r="8" spans="1:2" ht="15" customHeight="1" x14ac:dyDescent="0.25">
      <c r="A8" s="2" t="s">
        <v>10</v>
      </c>
      <c r="B8" s="2" t="s">
        <v>11</v>
      </c>
    </row>
    <row r="9" spans="1:2" ht="15" customHeight="1" x14ac:dyDescent="0.25">
      <c r="A9" s="2" t="s">
        <v>12</v>
      </c>
      <c r="B9" s="2" t="s">
        <v>13</v>
      </c>
    </row>
    <row r="10" spans="1:2" ht="15" customHeight="1" x14ac:dyDescent="0.25">
      <c r="A10" s="2" t="s">
        <v>14</v>
      </c>
      <c r="B10" s="2" t="s">
        <v>15</v>
      </c>
    </row>
    <row r="11" spans="1:2" ht="15" customHeight="1" x14ac:dyDescent="0.25">
      <c r="A11" s="2" t="s">
        <v>16</v>
      </c>
      <c r="B11" s="2" t="s">
        <v>17</v>
      </c>
    </row>
    <row r="12" spans="1:2" ht="15" customHeight="1" x14ac:dyDescent="0.25">
      <c r="A12" s="2" t="s">
        <v>18</v>
      </c>
      <c r="B12" s="2" t="s">
        <v>19</v>
      </c>
    </row>
    <row r="13" spans="1:2" ht="30" customHeight="1" x14ac:dyDescent="0.25">
      <c r="A13" s="2" t="s">
        <v>20</v>
      </c>
      <c r="B13" s="2" t="s">
        <v>21</v>
      </c>
    </row>
    <row r="14" spans="1:2" ht="15" customHeight="1" x14ac:dyDescent="0.25">
      <c r="A14" s="2"/>
      <c r="B14" s="2"/>
    </row>
    <row r="15" spans="1:2" ht="15" customHeight="1" x14ac:dyDescent="0.25">
      <c r="A15" s="2"/>
      <c r="B15" s="2"/>
    </row>
    <row r="16" spans="1:2" ht="30" customHeight="1" x14ac:dyDescent="0.25">
      <c r="A16" s="2" t="s">
        <v>22</v>
      </c>
      <c r="B16" s="2" t="s">
        <v>23</v>
      </c>
    </row>
    <row r="17" spans="1:2" ht="15" customHeight="1" x14ac:dyDescent="0.25">
      <c r="A17" s="2" t="s">
        <v>24</v>
      </c>
      <c r="B17" s="2" t="s">
        <v>25</v>
      </c>
    </row>
    <row r="18" spans="1:2" ht="30" customHeight="1" x14ac:dyDescent="0.25">
      <c r="A18" s="2" t="s">
        <v>26</v>
      </c>
      <c r="B18" s="2" t="s">
        <v>27</v>
      </c>
    </row>
    <row r="19" spans="1:2" ht="15" customHeight="1" x14ac:dyDescent="0.25">
      <c r="A19" s="2" t="s">
        <v>28</v>
      </c>
      <c r="B19" s="2" t="s">
        <v>29</v>
      </c>
    </row>
    <row r="21" spans="1:2" ht="30" customHeight="1" x14ac:dyDescent="0.25">
      <c r="A21" s="3" t="s">
        <v>30</v>
      </c>
      <c r="B21" s="2" t="s">
        <v>31</v>
      </c>
    </row>
    <row r="22" spans="1:2" ht="30" customHeight="1" x14ac:dyDescent="0.25">
      <c r="A22" s="3" t="s">
        <v>32</v>
      </c>
      <c r="B22" s="2"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7"/>
  <sheetViews>
    <sheetView showGridLines="0" workbookViewId="0"/>
  </sheetViews>
  <sheetFormatPr defaultRowHeight="15" x14ac:dyDescent="0.25"/>
  <cols>
    <col min="1" max="1" width="16" customWidth="1"/>
    <col min="2" max="2" width="27" customWidth="1"/>
    <col min="3" max="3" width="16" customWidth="1"/>
    <col min="4" max="4" width="42" customWidth="1"/>
    <col min="5" max="12" width="16" customWidth="1"/>
    <col min="13" max="13" width="37" customWidth="1"/>
    <col min="14" max="16" width="16" customWidth="1"/>
    <col min="17" max="17" width="38" customWidth="1"/>
  </cols>
  <sheetData>
    <row r="1" spans="1:9" ht="131.25" customHeight="1" x14ac:dyDescent="0.25">
      <c r="A1" s="4" t="s">
        <v>34</v>
      </c>
      <c r="B1" s="5"/>
      <c r="C1" s="5"/>
      <c r="D1" s="5"/>
      <c r="E1" s="5"/>
      <c r="F1" s="5"/>
      <c r="G1" s="5"/>
      <c r="H1" s="5"/>
      <c r="I1" s="5"/>
    </row>
    <row r="2" spans="1:9" ht="15" customHeight="1" x14ac:dyDescent="0.25">
      <c r="A2" s="5"/>
      <c r="B2" s="5"/>
      <c r="C2" s="5"/>
      <c r="D2" s="5"/>
      <c r="E2" s="5"/>
      <c r="F2" s="5"/>
      <c r="G2" s="5"/>
      <c r="H2" s="5"/>
      <c r="I2" s="5"/>
    </row>
    <row r="3" spans="1:9" ht="30" customHeight="1" x14ac:dyDescent="0.25">
      <c r="A3" s="5" t="s">
        <v>1</v>
      </c>
      <c r="B3" s="5" t="s">
        <v>35</v>
      </c>
      <c r="C3" s="5"/>
      <c r="D3" s="5"/>
      <c r="E3" s="5"/>
      <c r="F3" s="5"/>
      <c r="G3" s="5"/>
      <c r="H3" s="5"/>
      <c r="I3" s="5"/>
    </row>
    <row r="4" spans="1:9" ht="30" customHeight="1" x14ac:dyDescent="0.25">
      <c r="A4" s="5" t="s">
        <v>36</v>
      </c>
      <c r="B4" s="5">
        <v>216</v>
      </c>
      <c r="C4" s="5"/>
      <c r="D4" s="5"/>
      <c r="E4" s="5"/>
      <c r="F4" s="5"/>
      <c r="G4" s="5"/>
      <c r="H4" s="5"/>
      <c r="I4" s="5"/>
    </row>
    <row r="5" spans="1:9" ht="15" customHeight="1" x14ac:dyDescent="0.25">
      <c r="A5" s="5"/>
      <c r="B5" s="5"/>
      <c r="C5" s="5"/>
      <c r="D5" s="5"/>
      <c r="E5" s="5"/>
      <c r="F5" s="5"/>
      <c r="G5" s="5"/>
      <c r="H5" s="5"/>
      <c r="I5" s="5"/>
    </row>
    <row r="6" spans="1:9" ht="15" customHeight="1" x14ac:dyDescent="0.25">
      <c r="A6" s="6" t="s">
        <v>37</v>
      </c>
      <c r="B6" s="6" t="s">
        <v>38</v>
      </c>
      <c r="C6" s="6" t="s">
        <v>10</v>
      </c>
      <c r="D6" s="6" t="s">
        <v>39</v>
      </c>
      <c r="E6" s="6" t="s">
        <v>12</v>
      </c>
      <c r="F6" s="6" t="s">
        <v>14</v>
      </c>
      <c r="G6" s="6" t="s">
        <v>40</v>
      </c>
      <c r="H6" s="6" t="s">
        <v>6</v>
      </c>
      <c r="I6" s="6" t="s">
        <v>16</v>
      </c>
    </row>
    <row r="7" spans="1:9" ht="30" customHeight="1" x14ac:dyDescent="0.25">
      <c r="A7" s="5" t="s">
        <v>41</v>
      </c>
      <c r="B7" s="5">
        <f>MAX(0,COUNTA('Functional Acceptance'!B:B)-1)</f>
        <v>173</v>
      </c>
      <c r="C7" s="5">
        <f>COUNTIF('Functional Acceptance'!$L:$L,"Pass")</f>
        <v>7</v>
      </c>
      <c r="D7" s="5">
        <f>COUNTIF('Functional Acceptance'!$L:$L,"Pass with Known Issue")</f>
        <v>0</v>
      </c>
      <c r="E7" s="5">
        <f>COUNTIF('Functional Acceptance'!$L:$L,"Fail")</f>
        <v>0</v>
      </c>
      <c r="F7" s="5">
        <f>COUNTIF('Functional Acceptance'!$L:$L,"Blocked")</f>
        <v>0</v>
      </c>
      <c r="G7" s="5">
        <f>COUNTIF('Functional Acceptance'!$L:$L,"Ready to Test")</f>
        <v>0</v>
      </c>
      <c r="H7" s="5">
        <f>COUNTIF('Functional Acceptance'!$L:$L,"Not Built")</f>
        <v>166</v>
      </c>
      <c r="I7" s="5">
        <f>COUNTIF('Functional Acceptance'!$L:$L,"Deferred")</f>
        <v>0</v>
      </c>
    </row>
    <row r="8" spans="1:9" ht="15" customHeight="1" x14ac:dyDescent="0.25">
      <c r="A8" s="5" t="s">
        <v>42</v>
      </c>
      <c r="B8" s="5">
        <f>MAX(0,COUNTA('End-to-End Tests'!B:B)-1)</f>
        <v>12</v>
      </c>
      <c r="C8" s="5">
        <f>COUNTIF('End-to-End Tests'!$J:$J,"Pass")</f>
        <v>1</v>
      </c>
      <c r="D8" s="5">
        <f>COUNTIF('End-to-End Tests'!$J:$J,"Pass with Known Issue")</f>
        <v>0</v>
      </c>
      <c r="E8" s="5">
        <f>COUNTIF('End-to-End Tests'!$J:$J,"Fail")</f>
        <v>0</v>
      </c>
      <c r="F8" s="5">
        <f>COUNTIF('End-to-End Tests'!$J:$J,"Blocked")</f>
        <v>0</v>
      </c>
      <c r="G8" s="5">
        <f>COUNTIF('End-to-End Tests'!$J:$J,"Ready to Test")</f>
        <v>0</v>
      </c>
      <c r="H8" s="5">
        <f>COUNTIF('End-to-End Tests'!$J:$J,"Not Built")</f>
        <v>11</v>
      </c>
      <c r="I8" s="5">
        <f>COUNTIF('End-to-End Tests'!$J:$J,"Deferred")</f>
        <v>0</v>
      </c>
    </row>
    <row r="9" spans="1:9" ht="30" customHeight="1" x14ac:dyDescent="0.25">
      <c r="A9" s="5" t="s">
        <v>43</v>
      </c>
      <c r="B9" s="5">
        <f>MAX(0,COUNTA('Security Acceptance'!B:B)-1)</f>
        <v>22</v>
      </c>
      <c r="C9" s="5">
        <f>COUNTIF('Security Acceptance'!$N:$N,"Pass")</f>
        <v>9</v>
      </c>
      <c r="D9" s="5">
        <f>COUNTIF('Security Acceptance'!$N:$N,"Pass with Known Issue")</f>
        <v>0</v>
      </c>
      <c r="E9" s="5">
        <f>COUNTIF('Security Acceptance'!$N:$N,"Fail")</f>
        <v>0</v>
      </c>
      <c r="F9" s="5">
        <f>COUNTIF('Security Acceptance'!$N:$N,"Blocked")</f>
        <v>0</v>
      </c>
      <c r="G9" s="5">
        <f>COUNTIF('Security Acceptance'!$N:$N,"Ready to Test")</f>
        <v>0</v>
      </c>
      <c r="H9" s="5">
        <f>COUNTIF('Security Acceptance'!$N:$N,"Not Built")</f>
        <v>13</v>
      </c>
      <c r="I9" s="5">
        <f>COUNTIF('Security Acceptance'!$N:$N,"Deferred")</f>
        <v>0</v>
      </c>
    </row>
    <row r="10" spans="1:9" ht="30" customHeight="1" x14ac:dyDescent="0.25">
      <c r="A10" s="5" t="s">
        <v>44</v>
      </c>
      <c r="B10" s="5">
        <f>MAX(0,COUNTA('Database Verification'!B:B)-1)</f>
        <v>21</v>
      </c>
      <c r="C10" s="5">
        <f>COUNTIF('Database Verification'!$N:$N,"Pass")</f>
        <v>15</v>
      </c>
      <c r="D10" s="5">
        <f>COUNTIF('Database Verification'!$N:$N,"Pass with Known Issue")</f>
        <v>0</v>
      </c>
      <c r="E10" s="5">
        <f>COUNTIF('Database Verification'!$N:$N,"Fail")</f>
        <v>0</v>
      </c>
      <c r="F10" s="5">
        <f>COUNTIF('Database Verification'!$N:$N,"Blocked")</f>
        <v>0</v>
      </c>
      <c r="G10" s="5">
        <f>COUNTIF('Database Verification'!$N:$N,"Ready to Test")</f>
        <v>0</v>
      </c>
      <c r="H10" s="5">
        <f>COUNTIF('Database Verification'!$N:$N,"Not Built")</f>
        <v>6</v>
      </c>
      <c r="I10" s="5">
        <f>COUNTIF('Database Verification'!$N:$N,"Deferred")</f>
        <v>0</v>
      </c>
    </row>
    <row r="11" spans="1:9" ht="15" customHeight="1" x14ac:dyDescent="0.25">
      <c r="A11" s="5"/>
      <c r="B11" s="5"/>
      <c r="C11" s="5"/>
      <c r="D11" s="5"/>
      <c r="E11" s="5"/>
      <c r="F11" s="5"/>
      <c r="G11" s="5"/>
      <c r="H11" s="5"/>
      <c r="I11" s="5"/>
    </row>
    <row r="12" spans="1:9" ht="15" customHeight="1" x14ac:dyDescent="0.25">
      <c r="A12" s="5"/>
      <c r="B12" s="5"/>
      <c r="C12" s="5"/>
      <c r="D12" s="5"/>
      <c r="E12" s="5"/>
      <c r="F12" s="5"/>
      <c r="G12" s="5"/>
      <c r="H12" s="5"/>
      <c r="I12" s="5"/>
    </row>
    <row r="13" spans="1:9" ht="15" customHeight="1" x14ac:dyDescent="0.25">
      <c r="A13" s="6" t="s">
        <v>45</v>
      </c>
      <c r="B13" s="6" t="s">
        <v>46</v>
      </c>
      <c r="C13" s="6" t="s">
        <v>47</v>
      </c>
      <c r="D13" s="6"/>
      <c r="E13" s="6"/>
      <c r="F13" s="6"/>
      <c r="G13" s="6"/>
      <c r="H13" s="6"/>
      <c r="I13" s="6"/>
    </row>
    <row r="14" spans="1:9" ht="30" customHeight="1" x14ac:dyDescent="0.25">
      <c r="A14" s="5" t="s">
        <v>48</v>
      </c>
      <c r="B14" s="5">
        <f>SUMPRODUCT(((Coverage!$B$2:$B$223&amp;"")=(A14&amp;""))/COUNTIF(Coverage!$A$2:$A$223,Coverage!$A$2:$A$223))</f>
        <v>43</v>
      </c>
      <c r="C14" s="5" t="s">
        <v>49</v>
      </c>
      <c r="D14" s="5"/>
      <c r="E14" s="5"/>
      <c r="F14" s="5"/>
      <c r="G14" s="5"/>
      <c r="H14" s="5"/>
      <c r="I14" s="5"/>
    </row>
    <row r="15" spans="1:9" ht="15" customHeight="1" x14ac:dyDescent="0.25">
      <c r="A15" s="5" t="s">
        <v>50</v>
      </c>
      <c r="B15" s="5">
        <f>SUMPRODUCT(((Coverage!$B$2:$B$223&amp;"")=(A15&amp;""))/COUNTIF(Coverage!$A$2:$A$223,Coverage!$A$2:$A$223))</f>
        <v>64</v>
      </c>
      <c r="C15" s="5" t="s">
        <v>51</v>
      </c>
      <c r="D15" s="5"/>
      <c r="E15" s="5"/>
      <c r="F15" s="5"/>
      <c r="G15" s="5"/>
      <c r="H15" s="5"/>
      <c r="I15" s="5"/>
    </row>
    <row r="16" spans="1:9" ht="15" customHeight="1" x14ac:dyDescent="0.25">
      <c r="A16" s="5" t="s">
        <v>52</v>
      </c>
      <c r="B16" s="5">
        <f>SUMPRODUCT(((Coverage!$B$2:$B$223&amp;"")=(A16&amp;""))/COUNTIF(Coverage!$A$2:$A$223,Coverage!$A$2:$A$223))</f>
        <v>52</v>
      </c>
      <c r="C16" s="5" t="s">
        <v>53</v>
      </c>
      <c r="D16" s="5"/>
      <c r="E16" s="5"/>
      <c r="F16" s="5"/>
      <c r="G16" s="5"/>
      <c r="H16" s="5"/>
      <c r="I16" s="5"/>
    </row>
    <row r="17" spans="1:17" ht="30" customHeight="1" x14ac:dyDescent="0.25">
      <c r="A17" s="5" t="s">
        <v>54</v>
      </c>
      <c r="B17" s="5">
        <f>SUMPRODUCT(((Coverage!$B$2:$B$223&amp;"")=(A17&amp;""))/COUNTIF(Coverage!$A$2:$A$223,Coverage!$A$2:$A$223))</f>
        <v>46</v>
      </c>
      <c r="C17" s="5" t="s">
        <v>55</v>
      </c>
      <c r="D17" s="5"/>
      <c r="E17" s="5"/>
      <c r="F17" s="5"/>
      <c r="G17" s="5"/>
      <c r="H17" s="5"/>
      <c r="I17" s="5"/>
    </row>
    <row r="18" spans="1:17" ht="30" customHeight="1" x14ac:dyDescent="0.25">
      <c r="A18" s="5" t="s">
        <v>56</v>
      </c>
      <c r="B18" s="5">
        <f>SUMPRODUCT(((Coverage!$B$2:$B$223&amp;"")=(A18&amp;""))/COUNTIF(Coverage!$A$2:$A$223,Coverage!$A$2:$A$223))</f>
        <v>11</v>
      </c>
      <c r="C18" s="5" t="s">
        <v>57</v>
      </c>
      <c r="D18" s="5"/>
      <c r="E18" s="5"/>
      <c r="F18" s="5"/>
      <c r="G18" s="5"/>
      <c r="H18" s="5"/>
      <c r="I18" s="5"/>
    </row>
    <row r="19" spans="1:17" ht="15" customHeight="1" x14ac:dyDescent="0.25">
      <c r="A19" s="5"/>
      <c r="B19" s="5"/>
      <c r="C19" s="5"/>
      <c r="D19" s="5"/>
      <c r="E19" s="5"/>
      <c r="F19" s="5"/>
      <c r="G19" s="5"/>
      <c r="H19" s="5"/>
      <c r="I19" s="5"/>
    </row>
    <row r="22" spans="1:17" ht="30" customHeight="1" x14ac:dyDescent="0.25">
      <c r="A22" s="8" t="s">
        <v>45</v>
      </c>
      <c r="B22" s="8" t="s">
        <v>58</v>
      </c>
      <c r="C22" s="8" t="s">
        <v>59</v>
      </c>
      <c r="D22" s="8" t="s">
        <v>60</v>
      </c>
      <c r="E22" s="8" t="s">
        <v>61</v>
      </c>
      <c r="F22" s="8" t="s">
        <v>39</v>
      </c>
      <c r="G22" s="8" t="s">
        <v>62</v>
      </c>
      <c r="H22" s="8" t="s">
        <v>14</v>
      </c>
      <c r="I22" s="8" t="s">
        <v>16</v>
      </c>
      <c r="J22" s="8" t="s">
        <v>63</v>
      </c>
      <c r="K22" s="8" t="s">
        <v>41</v>
      </c>
      <c r="L22" s="8" t="s">
        <v>43</v>
      </c>
      <c r="M22" s="8" t="s">
        <v>64</v>
      </c>
      <c r="N22" s="8" t="s">
        <v>65</v>
      </c>
      <c r="O22" s="8" t="s">
        <v>66</v>
      </c>
      <c r="P22" s="8" t="s">
        <v>67</v>
      </c>
      <c r="Q22" s="8" t="s">
        <v>68</v>
      </c>
    </row>
    <row r="23" spans="1:17" ht="30" customHeight="1" x14ac:dyDescent="0.25">
      <c r="A23" s="2" t="s">
        <v>48</v>
      </c>
      <c r="B23" s="2" t="s">
        <v>49</v>
      </c>
      <c r="C23" s="2">
        <f>SUMPRODUCT(((Coverage!$B$2:$B$223&amp;"")=(A23&amp;""))/COUNTIF(Coverage!$A$2:$A$223,Coverage!$A$2:$A$223))</f>
        <v>43</v>
      </c>
      <c r="D23" s="2" t="s">
        <v>69</v>
      </c>
      <c r="E23" s="2">
        <f>COUNTIFS('Functional Acceptance'!D:D,A23,'Functional Acceptance'!L:L,"Pass")+COUNTIFS('Security Acceptance'!D:D,A23,'Security Acceptance'!N:N,"Pass")+COUNTIFS('Database Verification'!D:D,A23,'Database Verification'!N:N,"Pass")+COUNTIFS('End-to-End Tests'!C:C,A23,'End-to-End Tests'!J:J,"Pass")</f>
        <v>32</v>
      </c>
      <c r="F23" s="2">
        <f>COUNTIFS('Functional Acceptance'!D:D,A23,'Functional Acceptance'!L:L,"Pass with Known Issue")+COUNTIFS('Security Acceptance'!D:D,A23,'Security Acceptance'!N:N,"Pass with Known Issue")+COUNTIFS('Database Verification'!D:D,A23,'Database Verification'!N:N,"Pass with Known Issue")+COUNTIFS('End-to-End Tests'!C:C,A23,'End-to-End Tests'!J:J,"Pass with Known Issue")</f>
        <v>0</v>
      </c>
      <c r="G23" s="2">
        <f>COUNTIFS('Functional Acceptance'!D:D,A23,'Functional Acceptance'!L:L,"Fail")+COUNTIFS('Security Acceptance'!D:D,A23,'Security Acceptance'!N:N,"Fail")+COUNTIFS('Database Verification'!D:D,A23,'Database Verification'!N:N,"Fail")+COUNTIFS('End-to-End Tests'!C:C,A23,'End-to-End Tests'!J:J,"Fail")</f>
        <v>0</v>
      </c>
      <c r="H23" s="2">
        <f>COUNTIFS('Functional Acceptance'!D:D,A23,'Functional Acceptance'!L:L,"Blocked")+COUNTIFS('Security Acceptance'!D:D,A23,'Security Acceptance'!N:N,"Blocked")+COUNTIFS('Database Verification'!D:D,A23,'Database Verification'!N:N,"Blocked")+COUNTIFS('End-to-End Tests'!C:C,A23,'End-to-End Tests'!J:J,"Blocked")</f>
        <v>0</v>
      </c>
      <c r="I23" s="2">
        <f>COUNTIFS('Functional Acceptance'!D:D,A23,'Functional Acceptance'!L:L,"Deferred")+COUNTIFS('Security Acceptance'!D:D,A23,'Security Acceptance'!N:N,"Deferred")+COUNTIFS('Database Verification'!D:D,A23,'Database Verification'!N:N,"Deferred")+COUNTIFS('End-to-End Tests'!C:C,A23,'End-to-End Tests'!J:J,"Deferred")</f>
        <v>0</v>
      </c>
      <c r="J23" s="2" t="s">
        <v>70</v>
      </c>
      <c r="K23" s="2" t="s">
        <v>70</v>
      </c>
      <c r="L23" s="2" t="s">
        <v>70</v>
      </c>
      <c r="M23" s="2" t="s">
        <v>71</v>
      </c>
      <c r="N23" s="2" t="s">
        <v>70</v>
      </c>
      <c r="O23" s="2" t="s">
        <v>1129</v>
      </c>
      <c r="P23" s="2" t="s">
        <v>1130</v>
      </c>
      <c r="Q23" s="2" t="s">
        <v>1131</v>
      </c>
    </row>
    <row r="24" spans="1:17" ht="15" customHeight="1" x14ac:dyDescent="0.25">
      <c r="A24" s="2" t="s">
        <v>50</v>
      </c>
      <c r="B24" s="2" t="s">
        <v>51</v>
      </c>
      <c r="C24" s="2">
        <f>SUMPRODUCT(((Coverage!$B$2:$B$223&amp;"")=(A24&amp;""))/COUNTIF(Coverage!$A$2:$A$223,Coverage!$A$2:$A$223))</f>
        <v>64</v>
      </c>
      <c r="D24" s="2" t="s">
        <v>72</v>
      </c>
      <c r="E24" s="2">
        <f>COUNTIFS('Functional Acceptance'!D:D,A24,'Functional Acceptance'!L:L,"Pass")+COUNTIFS('Security Acceptance'!D:D,A24,'Security Acceptance'!N:N,"Pass")+COUNTIFS('Database Verification'!D:D,A24,'Database Verification'!N:N,"Pass")+COUNTIFS('End-to-End Tests'!C:C,A24,'End-to-End Tests'!J:J,"Pass")</f>
        <v>0</v>
      </c>
      <c r="F24" s="2">
        <f>COUNTIFS('Functional Acceptance'!D:D,A24,'Functional Acceptance'!L:L,"Pass with Known Issue")+COUNTIFS('Security Acceptance'!D:D,A24,'Security Acceptance'!N:N,"Pass with Known Issue")+COUNTIFS('Database Verification'!D:D,A24,'Database Verification'!N:N,"Pass with Known Issue")+COUNTIFS('End-to-End Tests'!C:C,A24,'End-to-End Tests'!J:J,"Pass with Known Issue")</f>
        <v>0</v>
      </c>
      <c r="G24" s="2">
        <f>COUNTIFS('Functional Acceptance'!D:D,A24,'Functional Acceptance'!L:L,"Fail")+COUNTIFS('Security Acceptance'!D:D,A24,'Security Acceptance'!N:N,"Fail")+COUNTIFS('Database Verification'!D:D,A24,'Database Verification'!N:N,"Fail")+COUNTIFS('End-to-End Tests'!C:C,A24,'End-to-End Tests'!J:J,"Fail")</f>
        <v>0</v>
      </c>
      <c r="H24" s="2">
        <f>COUNTIFS('Functional Acceptance'!D:D,A24,'Functional Acceptance'!L:L,"Blocked")+COUNTIFS('Security Acceptance'!D:D,A24,'Security Acceptance'!N:N,"Blocked")+COUNTIFS('Database Verification'!D:D,A24,'Database Verification'!N:N,"Blocked")+COUNTIFS('End-to-End Tests'!C:C,A24,'End-to-End Tests'!J:J,"Blocked")</f>
        <v>0</v>
      </c>
      <c r="I24" s="2">
        <f>COUNTIFS('Functional Acceptance'!D:D,A24,'Functional Acceptance'!L:L,"Deferred")+COUNTIFS('Security Acceptance'!D:D,A24,'Security Acceptance'!N:N,"Deferred")+COUNTIFS('Database Verification'!D:D,A24,'Database Verification'!N:N,"Deferred")+COUNTIFS('End-to-End Tests'!C:C,A24,'End-to-End Tests'!J:J,"Deferred")</f>
        <v>0</v>
      </c>
      <c r="J24" s="2" t="s">
        <v>70</v>
      </c>
      <c r="K24" s="2" t="s">
        <v>70</v>
      </c>
      <c r="L24" s="2" t="s">
        <v>70</v>
      </c>
      <c r="M24" s="2" t="s">
        <v>73</v>
      </c>
      <c r="N24" s="2" t="s">
        <v>70</v>
      </c>
      <c r="O24" s="2" t="s">
        <v>70</v>
      </c>
      <c r="P24" s="2"/>
      <c r="Q24" s="2"/>
    </row>
    <row r="25" spans="1:17" ht="15" customHeight="1" x14ac:dyDescent="0.25">
      <c r="A25" s="2" t="s">
        <v>52</v>
      </c>
      <c r="B25" s="2" t="s">
        <v>53</v>
      </c>
      <c r="C25" s="2">
        <f>SUMPRODUCT(((Coverage!$B$2:$B$223&amp;"")=(A25&amp;""))/COUNTIF(Coverage!$A$2:$A$223,Coverage!$A$2:$A$223))</f>
        <v>52</v>
      </c>
      <c r="D25" s="2" t="s">
        <v>74</v>
      </c>
      <c r="E25" s="2">
        <f>COUNTIFS('Functional Acceptance'!D:D,A25,'Functional Acceptance'!L:L,"Pass")+COUNTIFS('Security Acceptance'!D:D,A25,'Security Acceptance'!N:N,"Pass")+COUNTIFS('Database Verification'!D:D,A25,'Database Verification'!N:N,"Pass")+COUNTIFS('End-to-End Tests'!C:C,A25,'End-to-End Tests'!J:J,"Pass")</f>
        <v>0</v>
      </c>
      <c r="F25" s="2">
        <f>COUNTIFS('Functional Acceptance'!D:D,A25,'Functional Acceptance'!L:L,"Pass with Known Issue")+COUNTIFS('Security Acceptance'!D:D,A25,'Security Acceptance'!N:N,"Pass with Known Issue")+COUNTIFS('Database Verification'!D:D,A25,'Database Verification'!N:N,"Pass with Known Issue")+COUNTIFS('End-to-End Tests'!C:C,A25,'End-to-End Tests'!J:J,"Pass with Known Issue")</f>
        <v>0</v>
      </c>
      <c r="G25" s="2">
        <f>COUNTIFS('Functional Acceptance'!D:D,A25,'Functional Acceptance'!L:L,"Fail")+COUNTIFS('Security Acceptance'!D:D,A25,'Security Acceptance'!N:N,"Fail")+COUNTIFS('Database Verification'!D:D,A25,'Database Verification'!N:N,"Fail")+COUNTIFS('End-to-End Tests'!C:C,A25,'End-to-End Tests'!J:J,"Fail")</f>
        <v>0</v>
      </c>
      <c r="H25" s="2">
        <f>COUNTIFS('Functional Acceptance'!D:D,A25,'Functional Acceptance'!L:L,"Blocked")+COUNTIFS('Security Acceptance'!D:D,A25,'Security Acceptance'!N:N,"Blocked")+COUNTIFS('Database Verification'!D:D,A25,'Database Verification'!N:N,"Blocked")+COUNTIFS('End-to-End Tests'!C:C,A25,'End-to-End Tests'!J:J,"Blocked")</f>
        <v>0</v>
      </c>
      <c r="I25" s="2">
        <f>COUNTIFS('Functional Acceptance'!D:D,A25,'Functional Acceptance'!L:L,"Deferred")+COUNTIFS('Security Acceptance'!D:D,A25,'Security Acceptance'!N:N,"Deferred")+COUNTIFS('Database Verification'!D:D,A25,'Database Verification'!N:N,"Deferred")+COUNTIFS('End-to-End Tests'!C:C,A25,'End-to-End Tests'!J:J,"Deferred")</f>
        <v>0</v>
      </c>
      <c r="J25" s="2" t="s">
        <v>70</v>
      </c>
      <c r="K25" s="2" t="s">
        <v>70</v>
      </c>
      <c r="L25" s="2" t="s">
        <v>70</v>
      </c>
      <c r="M25" s="2" t="s">
        <v>75</v>
      </c>
      <c r="N25" s="2" t="s">
        <v>70</v>
      </c>
      <c r="O25" s="2" t="s">
        <v>70</v>
      </c>
      <c r="P25" s="2"/>
      <c r="Q25" s="2"/>
    </row>
    <row r="26" spans="1:17" ht="30" customHeight="1" x14ac:dyDescent="0.25">
      <c r="A26" s="2" t="s">
        <v>54</v>
      </c>
      <c r="B26" s="2" t="s">
        <v>55</v>
      </c>
      <c r="C26" s="2">
        <f>SUMPRODUCT(((Coverage!$B$2:$B$223&amp;"")=(A26&amp;""))/COUNTIF(Coverage!$A$2:$A$223,Coverage!$A$2:$A$223))</f>
        <v>46</v>
      </c>
      <c r="D26" s="2" t="s">
        <v>76</v>
      </c>
      <c r="E26" s="2">
        <f>COUNTIFS('Functional Acceptance'!D:D,A26,'Functional Acceptance'!L:L,"Pass")+COUNTIFS('Security Acceptance'!D:D,A26,'Security Acceptance'!N:N,"Pass")+COUNTIFS('Database Verification'!D:D,A26,'Database Verification'!N:N,"Pass")+COUNTIFS('End-to-End Tests'!C:C,A26,'End-to-End Tests'!J:J,"Pass")</f>
        <v>0</v>
      </c>
      <c r="F26" s="2">
        <f>COUNTIFS('Functional Acceptance'!D:D,A26,'Functional Acceptance'!L:L,"Pass with Known Issue")+COUNTIFS('Security Acceptance'!D:D,A26,'Security Acceptance'!N:N,"Pass with Known Issue")+COUNTIFS('Database Verification'!D:D,A26,'Database Verification'!N:N,"Pass with Known Issue")+COUNTIFS('End-to-End Tests'!C:C,A26,'End-to-End Tests'!J:J,"Pass with Known Issue")</f>
        <v>0</v>
      </c>
      <c r="G26" s="2">
        <f>COUNTIFS('Functional Acceptance'!D:D,A26,'Functional Acceptance'!L:L,"Fail")+COUNTIFS('Security Acceptance'!D:D,A26,'Security Acceptance'!N:N,"Fail")+COUNTIFS('Database Verification'!D:D,A26,'Database Verification'!N:N,"Fail")+COUNTIFS('End-to-End Tests'!C:C,A26,'End-to-End Tests'!J:J,"Fail")</f>
        <v>0</v>
      </c>
      <c r="H26" s="2">
        <f>COUNTIFS('Functional Acceptance'!D:D,A26,'Functional Acceptance'!L:L,"Blocked")+COUNTIFS('Security Acceptance'!D:D,A26,'Security Acceptance'!N:N,"Blocked")+COUNTIFS('Database Verification'!D:D,A26,'Database Verification'!N:N,"Blocked")+COUNTIFS('End-to-End Tests'!C:C,A26,'End-to-End Tests'!J:J,"Blocked")</f>
        <v>0</v>
      </c>
      <c r="I26" s="2">
        <f>COUNTIFS('Functional Acceptance'!D:D,A26,'Functional Acceptance'!L:L,"Deferred")+COUNTIFS('Security Acceptance'!D:D,A26,'Security Acceptance'!N:N,"Deferred")+COUNTIFS('Database Verification'!D:D,A26,'Database Verification'!N:N,"Deferred")+COUNTIFS('End-to-End Tests'!C:C,A26,'End-to-End Tests'!J:J,"Deferred")</f>
        <v>0</v>
      </c>
      <c r="J26" s="2" t="s">
        <v>70</v>
      </c>
      <c r="K26" s="2" t="s">
        <v>70</v>
      </c>
      <c r="L26" s="2" t="s">
        <v>70</v>
      </c>
      <c r="M26" s="2" t="s">
        <v>77</v>
      </c>
      <c r="N26" s="2" t="s">
        <v>70</v>
      </c>
      <c r="O26" s="2" t="s">
        <v>70</v>
      </c>
      <c r="P26" s="2"/>
      <c r="Q26" s="2"/>
    </row>
    <row r="27" spans="1:17" ht="15" customHeight="1" x14ac:dyDescent="0.25">
      <c r="A27" s="2" t="s">
        <v>56</v>
      </c>
      <c r="B27" s="2" t="s">
        <v>78</v>
      </c>
      <c r="C27" s="2">
        <f>SUMPRODUCT(((Coverage!$B$2:$B$223&amp;"")=(A27&amp;""))/COUNTIF(Coverage!$A$2:$A$223,Coverage!$A$2:$A$223))</f>
        <v>11</v>
      </c>
      <c r="D27" s="2" t="s">
        <v>16</v>
      </c>
      <c r="E27" s="2">
        <f>COUNTIFS('Functional Acceptance'!D:D,A27,'Functional Acceptance'!L:L,"Pass")+COUNTIFS('Security Acceptance'!D:D,A27,'Security Acceptance'!N:N,"Pass")+COUNTIFS('Database Verification'!D:D,A27,'Database Verification'!N:N,"Pass")+COUNTIFS('End-to-End Tests'!C:C,A27,'End-to-End Tests'!J:J,"Pass")</f>
        <v>0</v>
      </c>
      <c r="F27" s="2">
        <f>COUNTIFS('Functional Acceptance'!D:D,A27,'Functional Acceptance'!L:L,"Pass with Known Issue")+COUNTIFS('Security Acceptance'!D:D,A27,'Security Acceptance'!N:N,"Pass with Known Issue")+COUNTIFS('Database Verification'!D:D,A27,'Database Verification'!N:N,"Pass with Known Issue")+COUNTIFS('End-to-End Tests'!C:C,A27,'End-to-End Tests'!J:J,"Pass with Known Issue")</f>
        <v>0</v>
      </c>
      <c r="G27" s="2">
        <f>COUNTIFS('Functional Acceptance'!D:D,A27,'Functional Acceptance'!L:L,"Fail")+COUNTIFS('Security Acceptance'!D:D,A27,'Security Acceptance'!N:N,"Fail")+COUNTIFS('Database Verification'!D:D,A27,'Database Verification'!N:N,"Fail")+COUNTIFS('End-to-End Tests'!C:C,A27,'End-to-End Tests'!J:J,"Fail")</f>
        <v>0</v>
      </c>
      <c r="H27" s="2">
        <f>COUNTIFS('Functional Acceptance'!D:D,A27,'Functional Acceptance'!L:L,"Blocked")+COUNTIFS('Security Acceptance'!D:D,A27,'Security Acceptance'!N:N,"Blocked")+COUNTIFS('Database Verification'!D:D,A27,'Database Verification'!N:N,"Blocked")+COUNTIFS('End-to-End Tests'!C:C,A27,'End-to-End Tests'!J:J,"Blocked")</f>
        <v>0</v>
      </c>
      <c r="I27" s="2">
        <f>COUNTIFS('Functional Acceptance'!D:D,A27,'Functional Acceptance'!L:L,"Deferred")+COUNTIFS('Security Acceptance'!D:D,A27,'Security Acceptance'!N:N,"Deferred")+COUNTIFS('Database Verification'!D:D,A27,'Database Verification'!N:N,"Deferred")+COUNTIFS('End-to-End Tests'!C:C,A27,'End-to-End Tests'!J:J,"Deferred")</f>
        <v>0</v>
      </c>
      <c r="J27" s="2" t="s">
        <v>70</v>
      </c>
      <c r="K27" s="2" t="s">
        <v>70</v>
      </c>
      <c r="L27" s="2" t="s">
        <v>70</v>
      </c>
      <c r="M27" s="2" t="s">
        <v>18</v>
      </c>
      <c r="N27" s="2" t="s">
        <v>70</v>
      </c>
      <c r="O27" s="2" t="s">
        <v>70</v>
      </c>
      <c r="P27" s="2"/>
      <c r="Q27" s="2"/>
    </row>
  </sheetData>
  <dataValidations count="2">
    <dataValidation type="list" sqref="N23:N27 J23:L27" xr:uid="{00000000-0002-0000-0100-000000000000}">
      <formula1>"Not Started,In Progress,Pass,Fail,Blocked,N/A"</formula1>
    </dataValidation>
    <dataValidation type="list" sqref="O23:O27" xr:uid="{00000000-0002-0000-0100-000004000000}">
      <formula1>"Not Started,In Progress,Accepted,Accepted with Known Issues,Rejected,Deferred"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74"/>
  <sheetViews>
    <sheetView showGridLines="0" zoomScale="80" workbookViewId="0">
      <pane ySplit="1" topLeftCell="A2" activePane="bottomLeft" state="frozen"/>
      <selection pane="bottomLeft"/>
    </sheetView>
  </sheetViews>
  <sheetFormatPr defaultRowHeight="15" x14ac:dyDescent="0.25"/>
  <cols>
    <col min="1" max="1" width="16" customWidth="1"/>
    <col min="2" max="2" width="25" customWidth="1"/>
    <col min="3" max="3" width="20" customWidth="1"/>
    <col min="4" max="4" width="8" customWidth="1"/>
    <col min="5" max="5" width="24" customWidth="1"/>
    <col min="6" max="6" width="10" customWidth="1"/>
    <col min="7" max="7" width="11" customWidth="1"/>
    <col min="8" max="8" width="42" customWidth="1"/>
    <col min="9" max="9" width="40" customWidth="1"/>
    <col min="10" max="11" width="65" customWidth="1"/>
    <col min="12" max="12" width="20" customWidth="1"/>
    <col min="13" max="13" width="14" customWidth="1"/>
    <col min="14" max="14" width="18" customWidth="1"/>
    <col min="15" max="15" width="38" customWidth="1"/>
    <col min="16" max="16" width="42" customWidth="1"/>
  </cols>
  <sheetData>
    <row r="1" spans="1:16" ht="33.950000000000003" customHeight="1" x14ac:dyDescent="0.25">
      <c r="A1" s="6" t="s">
        <v>79</v>
      </c>
      <c r="B1" s="6" t="s">
        <v>80</v>
      </c>
      <c r="C1" s="6" t="s">
        <v>81</v>
      </c>
      <c r="D1" s="6" t="s">
        <v>45</v>
      </c>
      <c r="E1" s="6" t="s">
        <v>82</v>
      </c>
      <c r="F1" s="6" t="s">
        <v>83</v>
      </c>
      <c r="G1" s="6" t="s">
        <v>84</v>
      </c>
      <c r="H1" s="6" t="s">
        <v>85</v>
      </c>
      <c r="I1" s="6" t="s">
        <v>86</v>
      </c>
      <c r="J1" s="6" t="s">
        <v>87</v>
      </c>
      <c r="K1" s="6" t="s">
        <v>88</v>
      </c>
      <c r="L1" s="6" t="s">
        <v>89</v>
      </c>
      <c r="M1" s="6" t="s">
        <v>90</v>
      </c>
      <c r="N1" s="6" t="s">
        <v>91</v>
      </c>
      <c r="O1" s="6" t="s">
        <v>92</v>
      </c>
      <c r="P1" s="6" t="s">
        <v>93</v>
      </c>
    </row>
    <row r="2" spans="1:16" ht="60" customHeight="1" x14ac:dyDescent="0.25">
      <c r="A2" s="2" t="s">
        <v>1119</v>
      </c>
      <c r="B2" s="2" t="s">
        <v>94</v>
      </c>
      <c r="C2" s="2" t="s">
        <v>95</v>
      </c>
      <c r="D2" s="2" t="s">
        <v>48</v>
      </c>
      <c r="E2" s="2" t="s">
        <v>96</v>
      </c>
      <c r="F2" s="2" t="s">
        <v>97</v>
      </c>
      <c r="G2" s="2" t="s">
        <v>98</v>
      </c>
      <c r="H2" s="2" t="s">
        <v>99</v>
      </c>
      <c r="I2" s="2" t="s">
        <v>100</v>
      </c>
      <c r="J2" s="2" t="s">
        <v>101</v>
      </c>
      <c r="K2" s="2" t="s">
        <v>102</v>
      </c>
      <c r="L2" s="2" t="s">
        <v>10</v>
      </c>
      <c r="M2" s="7">
        <v>46323</v>
      </c>
      <c r="N2" s="2" t="s">
        <v>1111</v>
      </c>
      <c r="O2" s="2" t="s">
        <v>1120</v>
      </c>
      <c r="P2" s="2" t="s">
        <v>1121</v>
      </c>
    </row>
    <row r="3" spans="1:16" ht="60" customHeight="1" x14ac:dyDescent="0.25">
      <c r="A3" s="2" t="s">
        <v>1119</v>
      </c>
      <c r="B3" s="2" t="s">
        <v>103</v>
      </c>
      <c r="C3" s="2" t="s">
        <v>104</v>
      </c>
      <c r="D3" s="2" t="s">
        <v>48</v>
      </c>
      <c r="E3" s="2" t="s">
        <v>96</v>
      </c>
      <c r="F3" s="2" t="s">
        <v>97</v>
      </c>
      <c r="G3" s="2" t="s">
        <v>98</v>
      </c>
      <c r="H3" s="2" t="s">
        <v>105</v>
      </c>
      <c r="I3" s="2" t="s">
        <v>100</v>
      </c>
      <c r="J3" s="2" t="s">
        <v>101</v>
      </c>
      <c r="K3" s="2" t="s">
        <v>106</v>
      </c>
      <c r="L3" s="2" t="s">
        <v>10</v>
      </c>
      <c r="M3" s="7">
        <v>46323</v>
      </c>
      <c r="N3" s="2"/>
      <c r="O3" s="2" t="s">
        <v>1120</v>
      </c>
      <c r="P3" s="2" t="s">
        <v>1122</v>
      </c>
    </row>
    <row r="4" spans="1:16" ht="60" customHeight="1" x14ac:dyDescent="0.25">
      <c r="A4" s="2" t="s">
        <v>1119</v>
      </c>
      <c r="B4" s="2" t="s">
        <v>107</v>
      </c>
      <c r="C4" s="2" t="s">
        <v>108</v>
      </c>
      <c r="D4" s="2" t="s">
        <v>48</v>
      </c>
      <c r="E4" s="2" t="s">
        <v>96</v>
      </c>
      <c r="F4" s="2" t="s">
        <v>109</v>
      </c>
      <c r="G4" s="2" t="s">
        <v>98</v>
      </c>
      <c r="H4" s="2" t="s">
        <v>110</v>
      </c>
      <c r="I4" s="2" t="s">
        <v>100</v>
      </c>
      <c r="J4" s="2" t="s">
        <v>101</v>
      </c>
      <c r="K4" s="2" t="s">
        <v>111</v>
      </c>
      <c r="L4" s="2" t="s">
        <v>10</v>
      </c>
      <c r="M4" s="7">
        <v>46323</v>
      </c>
      <c r="N4" s="2"/>
      <c r="O4" s="2" t="s">
        <v>1120</v>
      </c>
      <c r="P4" s="2" t="s">
        <v>1123</v>
      </c>
    </row>
    <row r="5" spans="1:16" ht="60" customHeight="1" x14ac:dyDescent="0.25">
      <c r="A5" s="2" t="s">
        <v>1119</v>
      </c>
      <c r="B5" s="2" t="s">
        <v>112</v>
      </c>
      <c r="C5" s="2" t="s">
        <v>113</v>
      </c>
      <c r="D5" s="2" t="s">
        <v>48</v>
      </c>
      <c r="E5" s="2" t="s">
        <v>96</v>
      </c>
      <c r="F5" s="2" t="s">
        <v>109</v>
      </c>
      <c r="G5" s="2" t="s">
        <v>98</v>
      </c>
      <c r="H5" s="2" t="s">
        <v>114</v>
      </c>
      <c r="I5" s="2" t="s">
        <v>100</v>
      </c>
      <c r="J5" s="2" t="s">
        <v>101</v>
      </c>
      <c r="K5" s="2" t="s">
        <v>115</v>
      </c>
      <c r="L5" s="2" t="s">
        <v>10</v>
      </c>
      <c r="M5" s="7">
        <v>46323</v>
      </c>
      <c r="N5" s="2"/>
      <c r="O5" s="2" t="s">
        <v>1120</v>
      </c>
      <c r="P5" s="2" t="s">
        <v>1124</v>
      </c>
    </row>
    <row r="6" spans="1:16" ht="60" customHeight="1" x14ac:dyDescent="0.25">
      <c r="A6" s="2"/>
      <c r="B6" s="2" t="s">
        <v>116</v>
      </c>
      <c r="C6" s="2" t="s">
        <v>117</v>
      </c>
      <c r="D6" s="2" t="s">
        <v>50</v>
      </c>
      <c r="E6" s="2" t="s">
        <v>96</v>
      </c>
      <c r="F6" s="2" t="s">
        <v>109</v>
      </c>
      <c r="G6" s="2" t="s">
        <v>98</v>
      </c>
      <c r="H6" s="2" t="s">
        <v>118</v>
      </c>
      <c r="I6" s="2" t="s">
        <v>100</v>
      </c>
      <c r="J6" s="2" t="s">
        <v>101</v>
      </c>
      <c r="K6" s="2" t="s">
        <v>119</v>
      </c>
      <c r="L6" s="2" t="s">
        <v>6</v>
      </c>
      <c r="M6" s="7"/>
      <c r="N6" s="2"/>
      <c r="O6" s="2"/>
      <c r="P6" s="2"/>
    </row>
    <row r="7" spans="1:16" ht="60" customHeight="1" x14ac:dyDescent="0.25">
      <c r="A7" s="2"/>
      <c r="B7" s="2" t="s">
        <v>120</v>
      </c>
      <c r="C7" s="2" t="s">
        <v>121</v>
      </c>
      <c r="D7" s="2" t="s">
        <v>50</v>
      </c>
      <c r="E7" s="2" t="s">
        <v>96</v>
      </c>
      <c r="F7" s="2" t="s">
        <v>109</v>
      </c>
      <c r="G7" s="2" t="s">
        <v>98</v>
      </c>
      <c r="H7" s="2" t="s">
        <v>122</v>
      </c>
      <c r="I7" s="2" t="s">
        <v>100</v>
      </c>
      <c r="J7" s="2" t="s">
        <v>101</v>
      </c>
      <c r="K7" s="2" t="s">
        <v>123</v>
      </c>
      <c r="L7" s="2" t="s">
        <v>6</v>
      </c>
      <c r="M7" s="7"/>
      <c r="N7" s="2"/>
      <c r="O7" s="2"/>
      <c r="P7" s="2"/>
    </row>
    <row r="8" spans="1:16" ht="60" customHeight="1" x14ac:dyDescent="0.25">
      <c r="A8" s="2"/>
      <c r="B8" s="2" t="s">
        <v>124</v>
      </c>
      <c r="C8" s="2" t="s">
        <v>125</v>
      </c>
      <c r="D8" s="2" t="s">
        <v>52</v>
      </c>
      <c r="E8" s="2" t="s">
        <v>96</v>
      </c>
      <c r="F8" s="2" t="s">
        <v>109</v>
      </c>
      <c r="G8" s="2" t="s">
        <v>98</v>
      </c>
      <c r="H8" s="2" t="s">
        <v>126</v>
      </c>
      <c r="I8" s="2" t="s">
        <v>100</v>
      </c>
      <c r="J8" s="2" t="s">
        <v>101</v>
      </c>
      <c r="K8" s="2" t="s">
        <v>127</v>
      </c>
      <c r="L8" s="2" t="s">
        <v>6</v>
      </c>
      <c r="M8" s="7"/>
      <c r="N8" s="2"/>
      <c r="O8" s="2"/>
      <c r="P8" s="2"/>
    </row>
    <row r="9" spans="1:16" ht="60" customHeight="1" x14ac:dyDescent="0.25">
      <c r="A9" s="2" t="s">
        <v>1119</v>
      </c>
      <c r="B9" s="2" t="s">
        <v>128</v>
      </c>
      <c r="C9" s="2" t="s">
        <v>129</v>
      </c>
      <c r="D9" s="2" t="s">
        <v>48</v>
      </c>
      <c r="E9" s="2" t="s">
        <v>96</v>
      </c>
      <c r="F9" s="2" t="s">
        <v>109</v>
      </c>
      <c r="G9" s="2" t="s">
        <v>98</v>
      </c>
      <c r="H9" s="2" t="s">
        <v>130</v>
      </c>
      <c r="I9" s="2" t="s">
        <v>100</v>
      </c>
      <c r="J9" s="2" t="s">
        <v>101</v>
      </c>
      <c r="K9" s="2" t="s">
        <v>131</v>
      </c>
      <c r="L9" s="2" t="s">
        <v>10</v>
      </c>
      <c r="M9" s="7">
        <v>46323</v>
      </c>
      <c r="N9" s="2"/>
      <c r="O9" s="2" t="s">
        <v>1120</v>
      </c>
      <c r="P9" s="2" t="s">
        <v>1125</v>
      </c>
    </row>
    <row r="10" spans="1:16" ht="45" customHeight="1" x14ac:dyDescent="0.25">
      <c r="A10" s="2"/>
      <c r="B10" s="2" t="s">
        <v>132</v>
      </c>
      <c r="C10" s="2" t="s">
        <v>133</v>
      </c>
      <c r="D10" s="2" t="s">
        <v>50</v>
      </c>
      <c r="E10" s="2" t="s">
        <v>134</v>
      </c>
      <c r="F10" s="2" t="s">
        <v>97</v>
      </c>
      <c r="G10" s="2" t="s">
        <v>135</v>
      </c>
      <c r="H10" s="2" t="s">
        <v>136</v>
      </c>
      <c r="I10" s="2" t="s">
        <v>137</v>
      </c>
      <c r="J10" s="2" t="s">
        <v>138</v>
      </c>
      <c r="K10" s="2" t="s">
        <v>139</v>
      </c>
      <c r="L10" s="2" t="s">
        <v>6</v>
      </c>
      <c r="M10" s="7"/>
      <c r="N10" s="2"/>
      <c r="O10" s="2"/>
      <c r="P10" s="2"/>
    </row>
    <row r="11" spans="1:16" ht="60" customHeight="1" x14ac:dyDescent="0.25">
      <c r="A11" s="2"/>
      <c r="B11" s="2" t="s">
        <v>140</v>
      </c>
      <c r="C11" s="2" t="s">
        <v>133</v>
      </c>
      <c r="D11" s="2" t="s">
        <v>50</v>
      </c>
      <c r="E11" s="2" t="s">
        <v>134</v>
      </c>
      <c r="F11" s="2" t="s">
        <v>97</v>
      </c>
      <c r="G11" s="2" t="s">
        <v>141</v>
      </c>
      <c r="H11" s="2" t="s">
        <v>136</v>
      </c>
      <c r="I11" s="2" t="s">
        <v>137</v>
      </c>
      <c r="J11" s="2" t="s">
        <v>142</v>
      </c>
      <c r="K11" s="2" t="s">
        <v>139</v>
      </c>
      <c r="L11" s="2" t="s">
        <v>6</v>
      </c>
      <c r="M11" s="7"/>
      <c r="N11" s="2"/>
      <c r="O11" s="2"/>
      <c r="P11" s="2"/>
    </row>
    <row r="12" spans="1:16" ht="45" customHeight="1" x14ac:dyDescent="0.25">
      <c r="A12" s="2"/>
      <c r="B12" s="2" t="s">
        <v>143</v>
      </c>
      <c r="C12" s="2" t="s">
        <v>144</v>
      </c>
      <c r="D12" s="2" t="s">
        <v>50</v>
      </c>
      <c r="E12" s="2" t="s">
        <v>134</v>
      </c>
      <c r="F12" s="2" t="s">
        <v>97</v>
      </c>
      <c r="G12" s="2" t="s">
        <v>135</v>
      </c>
      <c r="H12" s="2" t="s">
        <v>145</v>
      </c>
      <c r="I12" s="2" t="s">
        <v>137</v>
      </c>
      <c r="J12" s="2" t="s">
        <v>138</v>
      </c>
      <c r="K12" s="2" t="s">
        <v>146</v>
      </c>
      <c r="L12" s="2" t="s">
        <v>6</v>
      </c>
      <c r="M12" s="7"/>
      <c r="N12" s="2"/>
      <c r="O12" s="2"/>
      <c r="P12" s="2"/>
    </row>
    <row r="13" spans="1:16" ht="60" customHeight="1" x14ac:dyDescent="0.25">
      <c r="A13" s="2"/>
      <c r="B13" s="2" t="s">
        <v>147</v>
      </c>
      <c r="C13" s="2" t="s">
        <v>148</v>
      </c>
      <c r="D13" s="2" t="s">
        <v>50</v>
      </c>
      <c r="E13" s="2" t="s">
        <v>134</v>
      </c>
      <c r="F13" s="2" t="s">
        <v>97</v>
      </c>
      <c r="G13" s="2" t="s">
        <v>141</v>
      </c>
      <c r="H13" s="2" t="s">
        <v>149</v>
      </c>
      <c r="I13" s="2" t="s">
        <v>137</v>
      </c>
      <c r="J13" s="2" t="s">
        <v>142</v>
      </c>
      <c r="K13" s="2" t="s">
        <v>150</v>
      </c>
      <c r="L13" s="2" t="s">
        <v>6</v>
      </c>
      <c r="M13" s="7"/>
      <c r="N13" s="2"/>
      <c r="O13" s="2"/>
      <c r="P13" s="2"/>
    </row>
    <row r="14" spans="1:16" ht="60" customHeight="1" x14ac:dyDescent="0.25">
      <c r="A14" s="2"/>
      <c r="B14" s="2" t="s">
        <v>151</v>
      </c>
      <c r="C14" s="2" t="s">
        <v>152</v>
      </c>
      <c r="D14" s="2" t="s">
        <v>50</v>
      </c>
      <c r="E14" s="2" t="s">
        <v>134</v>
      </c>
      <c r="F14" s="2" t="s">
        <v>109</v>
      </c>
      <c r="G14" s="2" t="s">
        <v>98</v>
      </c>
      <c r="H14" s="2" t="s">
        <v>153</v>
      </c>
      <c r="I14" s="2" t="s">
        <v>137</v>
      </c>
      <c r="J14" s="2" t="s">
        <v>101</v>
      </c>
      <c r="K14" s="2" t="s">
        <v>154</v>
      </c>
      <c r="L14" s="2" t="s">
        <v>6</v>
      </c>
      <c r="M14" s="7"/>
      <c r="N14" s="2"/>
      <c r="O14" s="2"/>
      <c r="P14" s="2"/>
    </row>
    <row r="15" spans="1:16" ht="75" customHeight="1" x14ac:dyDescent="0.25">
      <c r="A15" s="2"/>
      <c r="B15" s="2" t="s">
        <v>155</v>
      </c>
      <c r="C15" s="2" t="s">
        <v>156</v>
      </c>
      <c r="D15" s="2" t="s">
        <v>50</v>
      </c>
      <c r="E15" s="2" t="s">
        <v>134</v>
      </c>
      <c r="F15" s="2" t="s">
        <v>109</v>
      </c>
      <c r="G15" s="2" t="s">
        <v>98</v>
      </c>
      <c r="H15" s="2" t="s">
        <v>157</v>
      </c>
      <c r="I15" s="2" t="s">
        <v>137</v>
      </c>
      <c r="J15" s="2" t="s">
        <v>158</v>
      </c>
      <c r="K15" s="2" t="s">
        <v>159</v>
      </c>
      <c r="L15" s="2" t="s">
        <v>6</v>
      </c>
      <c r="M15" s="7"/>
      <c r="N15" s="2"/>
      <c r="O15" s="2"/>
      <c r="P15" s="2"/>
    </row>
    <row r="16" spans="1:16" ht="90" customHeight="1" x14ac:dyDescent="0.25">
      <c r="A16" s="2"/>
      <c r="B16" s="2" t="s">
        <v>160</v>
      </c>
      <c r="C16" s="2" t="s">
        <v>161</v>
      </c>
      <c r="D16" s="2" t="s">
        <v>50</v>
      </c>
      <c r="E16" s="2" t="s">
        <v>134</v>
      </c>
      <c r="F16" s="2" t="s">
        <v>109</v>
      </c>
      <c r="G16" s="2" t="s">
        <v>98</v>
      </c>
      <c r="H16" s="2" t="s">
        <v>162</v>
      </c>
      <c r="I16" s="2" t="s">
        <v>137</v>
      </c>
      <c r="J16" s="2" t="s">
        <v>163</v>
      </c>
      <c r="K16" s="2" t="s">
        <v>164</v>
      </c>
      <c r="L16" s="2" t="s">
        <v>6</v>
      </c>
      <c r="M16" s="7"/>
      <c r="N16" s="2"/>
      <c r="O16" s="2"/>
      <c r="P16" s="2"/>
    </row>
    <row r="17" spans="1:16" ht="60" customHeight="1" x14ac:dyDescent="0.25">
      <c r="A17" s="2"/>
      <c r="B17" s="2" t="s">
        <v>165</v>
      </c>
      <c r="C17" s="2" t="s">
        <v>166</v>
      </c>
      <c r="D17" s="2" t="s">
        <v>50</v>
      </c>
      <c r="E17" s="2" t="s">
        <v>134</v>
      </c>
      <c r="F17" s="2" t="s">
        <v>109</v>
      </c>
      <c r="G17" s="2" t="s">
        <v>98</v>
      </c>
      <c r="H17" s="2" t="s">
        <v>167</v>
      </c>
      <c r="I17" s="2" t="s">
        <v>137</v>
      </c>
      <c r="J17" s="2" t="s">
        <v>101</v>
      </c>
      <c r="K17" s="2" t="s">
        <v>168</v>
      </c>
      <c r="L17" s="2" t="s">
        <v>6</v>
      </c>
      <c r="M17" s="7"/>
      <c r="N17" s="2"/>
      <c r="O17" s="2"/>
      <c r="P17" s="2"/>
    </row>
    <row r="18" spans="1:16" ht="60" customHeight="1" x14ac:dyDescent="0.25">
      <c r="A18" s="2"/>
      <c r="B18" s="2" t="s">
        <v>169</v>
      </c>
      <c r="C18" s="2" t="s">
        <v>170</v>
      </c>
      <c r="D18" s="2" t="s">
        <v>50</v>
      </c>
      <c r="E18" s="2" t="s">
        <v>134</v>
      </c>
      <c r="F18" s="2" t="s">
        <v>109</v>
      </c>
      <c r="G18" s="2" t="s">
        <v>98</v>
      </c>
      <c r="H18" s="2" t="s">
        <v>171</v>
      </c>
      <c r="I18" s="2" t="s">
        <v>137</v>
      </c>
      <c r="J18" s="2" t="s">
        <v>101</v>
      </c>
      <c r="K18" s="2" t="s">
        <v>172</v>
      </c>
      <c r="L18" s="2" t="s">
        <v>6</v>
      </c>
      <c r="M18" s="7"/>
      <c r="N18" s="2"/>
      <c r="O18" s="2"/>
      <c r="P18" s="2"/>
    </row>
    <row r="19" spans="1:16" ht="60" customHeight="1" x14ac:dyDescent="0.25">
      <c r="A19" s="2"/>
      <c r="B19" s="2" t="s">
        <v>173</v>
      </c>
      <c r="C19" s="2" t="s">
        <v>174</v>
      </c>
      <c r="D19" s="2" t="s">
        <v>50</v>
      </c>
      <c r="E19" s="2" t="s">
        <v>134</v>
      </c>
      <c r="F19" s="2" t="s">
        <v>109</v>
      </c>
      <c r="G19" s="2" t="s">
        <v>98</v>
      </c>
      <c r="H19" s="2" t="s">
        <v>175</v>
      </c>
      <c r="I19" s="2" t="s">
        <v>137</v>
      </c>
      <c r="J19" s="2" t="s">
        <v>101</v>
      </c>
      <c r="K19" s="2" t="s">
        <v>176</v>
      </c>
      <c r="L19" s="2" t="s">
        <v>6</v>
      </c>
      <c r="M19" s="7"/>
      <c r="N19" s="2"/>
      <c r="O19" s="2"/>
      <c r="P19" s="2"/>
    </row>
    <row r="20" spans="1:16" ht="60" customHeight="1" x14ac:dyDescent="0.25">
      <c r="A20" s="2"/>
      <c r="B20" s="2" t="s">
        <v>177</v>
      </c>
      <c r="C20" s="2" t="s">
        <v>178</v>
      </c>
      <c r="D20" s="2" t="s">
        <v>50</v>
      </c>
      <c r="E20" s="2" t="s">
        <v>134</v>
      </c>
      <c r="F20" s="2" t="s">
        <v>109</v>
      </c>
      <c r="G20" s="2" t="s">
        <v>135</v>
      </c>
      <c r="H20" s="2" t="s">
        <v>179</v>
      </c>
      <c r="I20" s="2" t="s">
        <v>137</v>
      </c>
      <c r="J20" s="2" t="s">
        <v>138</v>
      </c>
      <c r="K20" s="2" t="s">
        <v>180</v>
      </c>
      <c r="L20" s="2" t="s">
        <v>6</v>
      </c>
      <c r="M20" s="7"/>
      <c r="N20" s="2"/>
      <c r="O20" s="2"/>
      <c r="P20" s="2"/>
    </row>
    <row r="21" spans="1:16" ht="60" customHeight="1" x14ac:dyDescent="0.25">
      <c r="A21" s="2"/>
      <c r="B21" s="2" t="s">
        <v>181</v>
      </c>
      <c r="C21" s="2" t="s">
        <v>182</v>
      </c>
      <c r="D21" s="2" t="s">
        <v>50</v>
      </c>
      <c r="E21" s="2" t="s">
        <v>134</v>
      </c>
      <c r="F21" s="2" t="s">
        <v>109</v>
      </c>
      <c r="G21" s="2" t="s">
        <v>141</v>
      </c>
      <c r="H21" s="2" t="s">
        <v>183</v>
      </c>
      <c r="I21" s="2" t="s">
        <v>137</v>
      </c>
      <c r="J21" s="2" t="s">
        <v>142</v>
      </c>
      <c r="K21" s="2" t="s">
        <v>184</v>
      </c>
      <c r="L21" s="2" t="s">
        <v>6</v>
      </c>
      <c r="M21" s="7"/>
      <c r="N21" s="2"/>
      <c r="O21" s="2"/>
      <c r="P21" s="2"/>
    </row>
    <row r="22" spans="1:16" ht="75" customHeight="1" x14ac:dyDescent="0.25">
      <c r="A22" s="2"/>
      <c r="B22" s="2" t="s">
        <v>185</v>
      </c>
      <c r="C22" s="2" t="s">
        <v>186</v>
      </c>
      <c r="D22" s="2" t="s">
        <v>50</v>
      </c>
      <c r="E22" s="2" t="s">
        <v>134</v>
      </c>
      <c r="F22" s="2" t="s">
        <v>109</v>
      </c>
      <c r="G22" s="2" t="s">
        <v>135</v>
      </c>
      <c r="H22" s="2" t="s">
        <v>187</v>
      </c>
      <c r="I22" s="2" t="s">
        <v>137</v>
      </c>
      <c r="J22" s="2" t="s">
        <v>188</v>
      </c>
      <c r="K22" s="2" t="s">
        <v>189</v>
      </c>
      <c r="L22" s="2" t="s">
        <v>6</v>
      </c>
      <c r="M22" s="7"/>
      <c r="N22" s="2"/>
      <c r="O22" s="2"/>
      <c r="P22" s="2"/>
    </row>
    <row r="23" spans="1:16" ht="75" customHeight="1" x14ac:dyDescent="0.25">
      <c r="A23" s="2"/>
      <c r="B23" s="2" t="s">
        <v>190</v>
      </c>
      <c r="C23" s="2" t="s">
        <v>186</v>
      </c>
      <c r="D23" s="2" t="s">
        <v>50</v>
      </c>
      <c r="E23" s="2" t="s">
        <v>134</v>
      </c>
      <c r="F23" s="2" t="s">
        <v>109</v>
      </c>
      <c r="G23" s="2" t="s">
        <v>141</v>
      </c>
      <c r="H23" s="2" t="s">
        <v>187</v>
      </c>
      <c r="I23" s="2" t="s">
        <v>137</v>
      </c>
      <c r="J23" s="2" t="s">
        <v>188</v>
      </c>
      <c r="K23" s="2" t="s">
        <v>189</v>
      </c>
      <c r="L23" s="2" t="s">
        <v>6</v>
      </c>
      <c r="M23" s="7"/>
      <c r="N23" s="2"/>
      <c r="O23" s="2"/>
      <c r="P23" s="2"/>
    </row>
    <row r="24" spans="1:16" ht="60" customHeight="1" x14ac:dyDescent="0.25">
      <c r="A24" s="2"/>
      <c r="B24" s="2" t="s">
        <v>191</v>
      </c>
      <c r="C24" s="2" t="s">
        <v>192</v>
      </c>
      <c r="D24" s="2" t="s">
        <v>50</v>
      </c>
      <c r="E24" s="2" t="s">
        <v>134</v>
      </c>
      <c r="F24" s="2" t="s">
        <v>109</v>
      </c>
      <c r="G24" s="2" t="s">
        <v>98</v>
      </c>
      <c r="H24" s="2" t="s">
        <v>193</v>
      </c>
      <c r="I24" s="2" t="s">
        <v>137</v>
      </c>
      <c r="J24" s="2" t="s">
        <v>101</v>
      </c>
      <c r="K24" s="2" t="s">
        <v>194</v>
      </c>
      <c r="L24" s="2" t="s">
        <v>6</v>
      </c>
      <c r="M24" s="7"/>
      <c r="N24" s="2"/>
      <c r="O24" s="2"/>
      <c r="P24" s="2"/>
    </row>
    <row r="25" spans="1:16" ht="60" customHeight="1" x14ac:dyDescent="0.25">
      <c r="A25" s="2"/>
      <c r="B25" s="2" t="s">
        <v>195</v>
      </c>
      <c r="C25" s="2" t="s">
        <v>196</v>
      </c>
      <c r="D25" s="2" t="s">
        <v>50</v>
      </c>
      <c r="E25" s="2" t="s">
        <v>134</v>
      </c>
      <c r="F25" s="2" t="s">
        <v>109</v>
      </c>
      <c r="G25" s="2" t="s">
        <v>98</v>
      </c>
      <c r="H25" s="2" t="s">
        <v>197</v>
      </c>
      <c r="I25" s="2" t="s">
        <v>137</v>
      </c>
      <c r="J25" s="2" t="s">
        <v>101</v>
      </c>
      <c r="K25" s="2" t="s">
        <v>198</v>
      </c>
      <c r="L25" s="2" t="s">
        <v>6</v>
      </c>
      <c r="M25" s="7"/>
      <c r="N25" s="2"/>
      <c r="O25" s="2"/>
      <c r="P25" s="2"/>
    </row>
    <row r="26" spans="1:16" ht="60" customHeight="1" x14ac:dyDescent="0.25">
      <c r="A26" s="2"/>
      <c r="B26" s="2" t="s">
        <v>199</v>
      </c>
      <c r="C26" s="2" t="s">
        <v>200</v>
      </c>
      <c r="D26" s="2" t="s">
        <v>50</v>
      </c>
      <c r="E26" s="2" t="s">
        <v>134</v>
      </c>
      <c r="F26" s="2" t="s">
        <v>109</v>
      </c>
      <c r="G26" s="2" t="s">
        <v>98</v>
      </c>
      <c r="H26" s="2" t="s">
        <v>201</v>
      </c>
      <c r="I26" s="2" t="s">
        <v>137</v>
      </c>
      <c r="J26" s="2" t="s">
        <v>101</v>
      </c>
      <c r="K26" s="2" t="s">
        <v>202</v>
      </c>
      <c r="L26" s="2" t="s">
        <v>6</v>
      </c>
      <c r="M26" s="7"/>
      <c r="N26" s="2"/>
      <c r="O26" s="2"/>
      <c r="P26" s="2"/>
    </row>
    <row r="27" spans="1:16" ht="60" customHeight="1" x14ac:dyDescent="0.25">
      <c r="A27" s="2"/>
      <c r="B27" s="2" t="s">
        <v>203</v>
      </c>
      <c r="C27" s="2" t="s">
        <v>204</v>
      </c>
      <c r="D27" s="2" t="s">
        <v>52</v>
      </c>
      <c r="E27" s="2" t="s">
        <v>134</v>
      </c>
      <c r="F27" s="2" t="s">
        <v>109</v>
      </c>
      <c r="G27" s="2" t="s">
        <v>98</v>
      </c>
      <c r="H27" s="2" t="s">
        <v>205</v>
      </c>
      <c r="I27" s="2" t="s">
        <v>137</v>
      </c>
      <c r="J27" s="2" t="s">
        <v>101</v>
      </c>
      <c r="K27" s="2" t="s">
        <v>206</v>
      </c>
      <c r="L27" s="2" t="s">
        <v>6</v>
      </c>
      <c r="M27" s="7"/>
      <c r="N27" s="2"/>
      <c r="O27" s="2"/>
      <c r="P27" s="2"/>
    </row>
    <row r="28" spans="1:16" ht="60" customHeight="1" x14ac:dyDescent="0.25">
      <c r="A28" s="2"/>
      <c r="B28" s="2" t="s">
        <v>207</v>
      </c>
      <c r="C28" s="2" t="s">
        <v>208</v>
      </c>
      <c r="D28" s="2" t="s">
        <v>52</v>
      </c>
      <c r="E28" s="2" t="s">
        <v>134</v>
      </c>
      <c r="F28" s="2" t="s">
        <v>109</v>
      </c>
      <c r="G28" s="2" t="s">
        <v>98</v>
      </c>
      <c r="H28" s="2" t="s">
        <v>209</v>
      </c>
      <c r="I28" s="2" t="s">
        <v>137</v>
      </c>
      <c r="J28" s="2" t="s">
        <v>101</v>
      </c>
      <c r="K28" s="2" t="s">
        <v>210</v>
      </c>
      <c r="L28" s="2" t="s">
        <v>6</v>
      </c>
      <c r="M28" s="7"/>
      <c r="N28" s="2"/>
      <c r="O28" s="2"/>
      <c r="P28" s="2"/>
    </row>
    <row r="29" spans="1:16" ht="60" customHeight="1" x14ac:dyDescent="0.25">
      <c r="A29" s="2"/>
      <c r="B29" s="2" t="s">
        <v>211</v>
      </c>
      <c r="C29" s="2" t="s">
        <v>212</v>
      </c>
      <c r="D29" s="2" t="s">
        <v>52</v>
      </c>
      <c r="E29" s="2" t="s">
        <v>134</v>
      </c>
      <c r="F29" s="2" t="s">
        <v>109</v>
      </c>
      <c r="G29" s="2" t="s">
        <v>98</v>
      </c>
      <c r="H29" s="2" t="s">
        <v>213</v>
      </c>
      <c r="I29" s="2" t="s">
        <v>137</v>
      </c>
      <c r="J29" s="2" t="s">
        <v>101</v>
      </c>
      <c r="K29" s="2" t="s">
        <v>214</v>
      </c>
      <c r="L29" s="2" t="s">
        <v>6</v>
      </c>
      <c r="M29" s="7"/>
      <c r="N29" s="2"/>
      <c r="O29" s="2"/>
      <c r="P29" s="2"/>
    </row>
    <row r="30" spans="1:16" ht="45" customHeight="1" x14ac:dyDescent="0.25">
      <c r="A30" s="2"/>
      <c r="B30" s="2" t="s">
        <v>215</v>
      </c>
      <c r="C30" s="2" t="s">
        <v>216</v>
      </c>
      <c r="D30" s="2" t="s">
        <v>50</v>
      </c>
      <c r="E30" s="2" t="s">
        <v>134</v>
      </c>
      <c r="F30" s="2" t="s">
        <v>109</v>
      </c>
      <c r="G30" s="2" t="s">
        <v>135</v>
      </c>
      <c r="H30" s="2" t="s">
        <v>217</v>
      </c>
      <c r="I30" s="2" t="s">
        <v>137</v>
      </c>
      <c r="J30" s="2" t="s">
        <v>138</v>
      </c>
      <c r="K30" s="2" t="s">
        <v>218</v>
      </c>
      <c r="L30" s="2" t="s">
        <v>6</v>
      </c>
      <c r="M30" s="7"/>
      <c r="N30" s="2"/>
      <c r="O30" s="2"/>
      <c r="P30" s="2"/>
    </row>
    <row r="31" spans="1:16" ht="60" customHeight="1" x14ac:dyDescent="0.25">
      <c r="A31" s="2"/>
      <c r="B31" s="2" t="s">
        <v>219</v>
      </c>
      <c r="C31" s="2" t="s">
        <v>220</v>
      </c>
      <c r="D31" s="2" t="s">
        <v>50</v>
      </c>
      <c r="E31" s="2" t="s">
        <v>134</v>
      </c>
      <c r="F31" s="2" t="s">
        <v>109</v>
      </c>
      <c r="G31" s="2" t="s">
        <v>141</v>
      </c>
      <c r="H31" s="2" t="s">
        <v>221</v>
      </c>
      <c r="I31" s="2" t="s">
        <v>137</v>
      </c>
      <c r="J31" s="2" t="s">
        <v>142</v>
      </c>
      <c r="K31" s="2" t="s">
        <v>222</v>
      </c>
      <c r="L31" s="2" t="s">
        <v>6</v>
      </c>
      <c r="M31" s="7"/>
      <c r="N31" s="2"/>
      <c r="O31" s="2"/>
      <c r="P31" s="2"/>
    </row>
    <row r="32" spans="1:16" ht="75" customHeight="1" x14ac:dyDescent="0.25">
      <c r="A32" s="2"/>
      <c r="B32" s="2" t="s">
        <v>223</v>
      </c>
      <c r="C32" s="2" t="s">
        <v>224</v>
      </c>
      <c r="D32" s="2" t="s">
        <v>50</v>
      </c>
      <c r="E32" s="2" t="s">
        <v>134</v>
      </c>
      <c r="F32" s="2" t="s">
        <v>109</v>
      </c>
      <c r="G32" s="2" t="s">
        <v>98</v>
      </c>
      <c r="H32" s="2" t="s">
        <v>225</v>
      </c>
      <c r="I32" s="2" t="s">
        <v>137</v>
      </c>
      <c r="J32" s="2" t="s">
        <v>226</v>
      </c>
      <c r="K32" s="2" t="s">
        <v>227</v>
      </c>
      <c r="L32" s="2" t="s">
        <v>6</v>
      </c>
      <c r="M32" s="7"/>
      <c r="N32" s="2"/>
      <c r="O32" s="2"/>
      <c r="P32" s="2"/>
    </row>
    <row r="33" spans="1:16" ht="60" customHeight="1" x14ac:dyDescent="0.25">
      <c r="A33" s="2"/>
      <c r="B33" s="2" t="s">
        <v>228</v>
      </c>
      <c r="C33" s="2" t="s">
        <v>229</v>
      </c>
      <c r="D33" s="2" t="s">
        <v>50</v>
      </c>
      <c r="E33" s="2" t="s">
        <v>134</v>
      </c>
      <c r="F33" s="2" t="s">
        <v>109</v>
      </c>
      <c r="G33" s="2" t="s">
        <v>98</v>
      </c>
      <c r="H33" s="2" t="s">
        <v>230</v>
      </c>
      <c r="I33" s="2" t="s">
        <v>137</v>
      </c>
      <c r="J33" s="2" t="s">
        <v>101</v>
      </c>
      <c r="K33" s="2" t="s">
        <v>231</v>
      </c>
      <c r="L33" s="2" t="s">
        <v>6</v>
      </c>
      <c r="M33" s="7"/>
      <c r="N33" s="2"/>
      <c r="O33" s="2"/>
      <c r="P33" s="2"/>
    </row>
    <row r="34" spans="1:16" ht="60" customHeight="1" x14ac:dyDescent="0.25">
      <c r="A34" s="2"/>
      <c r="B34" s="2" t="s">
        <v>232</v>
      </c>
      <c r="C34" s="2" t="s">
        <v>233</v>
      </c>
      <c r="D34" s="2" t="s">
        <v>50</v>
      </c>
      <c r="E34" s="2" t="s">
        <v>134</v>
      </c>
      <c r="F34" s="2" t="s">
        <v>234</v>
      </c>
      <c r="G34" s="2" t="s">
        <v>98</v>
      </c>
      <c r="H34" s="2" t="s">
        <v>235</v>
      </c>
      <c r="I34" s="2" t="s">
        <v>137</v>
      </c>
      <c r="J34" s="2" t="s">
        <v>101</v>
      </c>
      <c r="K34" s="2" t="s">
        <v>236</v>
      </c>
      <c r="L34" s="2" t="s">
        <v>6</v>
      </c>
      <c r="M34" s="7"/>
      <c r="N34" s="2"/>
      <c r="O34" s="2"/>
      <c r="P34" s="2"/>
    </row>
    <row r="35" spans="1:16" ht="75" customHeight="1" x14ac:dyDescent="0.25">
      <c r="A35" s="2"/>
      <c r="B35" s="2" t="s">
        <v>237</v>
      </c>
      <c r="C35" s="2" t="s">
        <v>238</v>
      </c>
      <c r="D35" s="2" t="s">
        <v>50</v>
      </c>
      <c r="E35" s="2" t="s">
        <v>134</v>
      </c>
      <c r="F35" s="2" t="s">
        <v>234</v>
      </c>
      <c r="G35" s="2" t="s">
        <v>98</v>
      </c>
      <c r="H35" s="2" t="s">
        <v>239</v>
      </c>
      <c r="I35" s="2" t="s">
        <v>137</v>
      </c>
      <c r="J35" s="2" t="s">
        <v>101</v>
      </c>
      <c r="K35" s="2" t="s">
        <v>240</v>
      </c>
      <c r="L35" s="2" t="s">
        <v>6</v>
      </c>
      <c r="M35" s="7"/>
      <c r="N35" s="2"/>
      <c r="O35" s="2"/>
      <c r="P35" s="2"/>
    </row>
    <row r="36" spans="1:16" ht="105" customHeight="1" x14ac:dyDescent="0.25">
      <c r="A36" s="2"/>
      <c r="B36" s="2" t="s">
        <v>241</v>
      </c>
      <c r="C36" s="2" t="s">
        <v>242</v>
      </c>
      <c r="D36" s="2" t="s">
        <v>50</v>
      </c>
      <c r="E36" s="2" t="s">
        <v>134</v>
      </c>
      <c r="F36" s="2" t="s">
        <v>109</v>
      </c>
      <c r="G36" s="2" t="s">
        <v>98</v>
      </c>
      <c r="H36" s="2" t="s">
        <v>243</v>
      </c>
      <c r="I36" s="2" t="s">
        <v>137</v>
      </c>
      <c r="J36" s="2" t="s">
        <v>101</v>
      </c>
      <c r="K36" s="2" t="s">
        <v>244</v>
      </c>
      <c r="L36" s="2" t="s">
        <v>6</v>
      </c>
      <c r="M36" s="7"/>
      <c r="N36" s="2"/>
      <c r="O36" s="2"/>
      <c r="P36" s="2"/>
    </row>
    <row r="37" spans="1:16" ht="45" customHeight="1" x14ac:dyDescent="0.25">
      <c r="A37" s="2"/>
      <c r="B37" s="2" t="s">
        <v>245</v>
      </c>
      <c r="C37" s="2" t="s">
        <v>246</v>
      </c>
      <c r="D37" s="2" t="s">
        <v>50</v>
      </c>
      <c r="E37" s="2" t="s">
        <v>247</v>
      </c>
      <c r="F37" s="2" t="s">
        <v>97</v>
      </c>
      <c r="G37" s="2" t="s">
        <v>135</v>
      </c>
      <c r="H37" s="2" t="s">
        <v>248</v>
      </c>
      <c r="I37" s="2" t="s">
        <v>137</v>
      </c>
      <c r="J37" s="2" t="s">
        <v>138</v>
      </c>
      <c r="K37" s="2" t="s">
        <v>249</v>
      </c>
      <c r="L37" s="2" t="s">
        <v>6</v>
      </c>
      <c r="M37" s="7"/>
      <c r="N37" s="2"/>
      <c r="O37" s="2"/>
      <c r="P37" s="2"/>
    </row>
    <row r="38" spans="1:16" ht="60" customHeight="1" x14ac:dyDescent="0.25">
      <c r="A38" s="2"/>
      <c r="B38" s="2" t="s">
        <v>250</v>
      </c>
      <c r="C38" s="2" t="s">
        <v>246</v>
      </c>
      <c r="D38" s="2" t="s">
        <v>50</v>
      </c>
      <c r="E38" s="2" t="s">
        <v>247</v>
      </c>
      <c r="F38" s="2" t="s">
        <v>97</v>
      </c>
      <c r="G38" s="2" t="s">
        <v>141</v>
      </c>
      <c r="H38" s="2" t="s">
        <v>248</v>
      </c>
      <c r="I38" s="2" t="s">
        <v>137</v>
      </c>
      <c r="J38" s="2" t="s">
        <v>142</v>
      </c>
      <c r="K38" s="2" t="s">
        <v>249</v>
      </c>
      <c r="L38" s="2" t="s">
        <v>6</v>
      </c>
      <c r="M38" s="7"/>
      <c r="N38" s="2"/>
      <c r="O38" s="2"/>
      <c r="P38" s="2"/>
    </row>
    <row r="39" spans="1:16" ht="90" customHeight="1" x14ac:dyDescent="0.25">
      <c r="A39" s="2"/>
      <c r="B39" s="2" t="s">
        <v>251</v>
      </c>
      <c r="C39" s="2" t="s">
        <v>252</v>
      </c>
      <c r="D39" s="2" t="s">
        <v>50</v>
      </c>
      <c r="E39" s="2" t="s">
        <v>247</v>
      </c>
      <c r="F39" s="2" t="s">
        <v>97</v>
      </c>
      <c r="G39" s="2" t="s">
        <v>98</v>
      </c>
      <c r="H39" s="2" t="s">
        <v>253</v>
      </c>
      <c r="I39" s="2" t="s">
        <v>137</v>
      </c>
      <c r="J39" s="2" t="s">
        <v>101</v>
      </c>
      <c r="K39" s="2" t="s">
        <v>254</v>
      </c>
      <c r="L39" s="2" t="s">
        <v>6</v>
      </c>
      <c r="M39" s="7"/>
      <c r="N39" s="2"/>
      <c r="O39" s="2"/>
      <c r="P39" s="2"/>
    </row>
    <row r="40" spans="1:16" ht="60" customHeight="1" x14ac:dyDescent="0.25">
      <c r="A40" s="2"/>
      <c r="B40" s="2" t="s">
        <v>255</v>
      </c>
      <c r="C40" s="2" t="s">
        <v>256</v>
      </c>
      <c r="D40" s="2" t="s">
        <v>50</v>
      </c>
      <c r="E40" s="2" t="s">
        <v>247</v>
      </c>
      <c r="F40" s="2" t="s">
        <v>97</v>
      </c>
      <c r="G40" s="2" t="s">
        <v>98</v>
      </c>
      <c r="H40" s="2" t="s">
        <v>257</v>
      </c>
      <c r="I40" s="2" t="s">
        <v>137</v>
      </c>
      <c r="J40" s="2" t="s">
        <v>101</v>
      </c>
      <c r="K40" s="2" t="s">
        <v>258</v>
      </c>
      <c r="L40" s="2" t="s">
        <v>6</v>
      </c>
      <c r="M40" s="7"/>
      <c r="N40" s="2"/>
      <c r="O40" s="2"/>
      <c r="P40" s="2"/>
    </row>
    <row r="41" spans="1:16" ht="60" customHeight="1" x14ac:dyDescent="0.25">
      <c r="A41" s="2"/>
      <c r="B41" s="2" t="s">
        <v>259</v>
      </c>
      <c r="C41" s="2" t="s">
        <v>260</v>
      </c>
      <c r="D41" s="2" t="s">
        <v>50</v>
      </c>
      <c r="E41" s="2" t="s">
        <v>247</v>
      </c>
      <c r="F41" s="2" t="s">
        <v>97</v>
      </c>
      <c r="G41" s="2" t="s">
        <v>98</v>
      </c>
      <c r="H41" s="2" t="s">
        <v>261</v>
      </c>
      <c r="I41" s="2" t="s">
        <v>137</v>
      </c>
      <c r="J41" s="2" t="s">
        <v>101</v>
      </c>
      <c r="K41" s="2" t="s">
        <v>262</v>
      </c>
      <c r="L41" s="2" t="s">
        <v>6</v>
      </c>
      <c r="M41" s="7"/>
      <c r="N41" s="2"/>
      <c r="O41" s="2"/>
      <c r="P41" s="2"/>
    </row>
    <row r="42" spans="1:16" ht="60" customHeight="1" x14ac:dyDescent="0.25">
      <c r="A42" s="2"/>
      <c r="B42" s="2" t="s">
        <v>263</v>
      </c>
      <c r="C42" s="2" t="s">
        <v>264</v>
      </c>
      <c r="D42" s="2" t="s">
        <v>52</v>
      </c>
      <c r="E42" s="2" t="s">
        <v>247</v>
      </c>
      <c r="F42" s="2" t="s">
        <v>109</v>
      </c>
      <c r="G42" s="2" t="s">
        <v>98</v>
      </c>
      <c r="H42" s="2" t="s">
        <v>265</v>
      </c>
      <c r="I42" s="2" t="s">
        <v>137</v>
      </c>
      <c r="J42" s="2" t="s">
        <v>101</v>
      </c>
      <c r="K42" s="2" t="s">
        <v>266</v>
      </c>
      <c r="L42" s="2" t="s">
        <v>6</v>
      </c>
      <c r="M42" s="7"/>
      <c r="N42" s="2"/>
      <c r="O42" s="2"/>
      <c r="P42" s="2"/>
    </row>
    <row r="43" spans="1:16" ht="60" customHeight="1" x14ac:dyDescent="0.25">
      <c r="A43" s="2"/>
      <c r="B43" s="2" t="s">
        <v>267</v>
      </c>
      <c r="C43" s="2" t="s">
        <v>268</v>
      </c>
      <c r="D43" s="2" t="s">
        <v>54</v>
      </c>
      <c r="E43" s="2" t="s">
        <v>247</v>
      </c>
      <c r="F43" s="2" t="s">
        <v>109</v>
      </c>
      <c r="G43" s="2" t="s">
        <v>98</v>
      </c>
      <c r="H43" s="2" t="s">
        <v>269</v>
      </c>
      <c r="I43" s="2" t="s">
        <v>137</v>
      </c>
      <c r="J43" s="2" t="s">
        <v>101</v>
      </c>
      <c r="K43" s="2" t="s">
        <v>270</v>
      </c>
      <c r="L43" s="2" t="s">
        <v>6</v>
      </c>
      <c r="M43" s="7"/>
      <c r="N43" s="2"/>
      <c r="O43" s="2"/>
      <c r="P43" s="2"/>
    </row>
    <row r="44" spans="1:16" ht="60" customHeight="1" x14ac:dyDescent="0.25">
      <c r="A44" s="2"/>
      <c r="B44" s="2" t="s">
        <v>271</v>
      </c>
      <c r="C44" s="2" t="s">
        <v>272</v>
      </c>
      <c r="D44" s="2" t="s">
        <v>50</v>
      </c>
      <c r="E44" s="2" t="s">
        <v>247</v>
      </c>
      <c r="F44" s="2" t="s">
        <v>109</v>
      </c>
      <c r="G44" s="2" t="s">
        <v>98</v>
      </c>
      <c r="H44" s="2" t="s">
        <v>273</v>
      </c>
      <c r="I44" s="2" t="s">
        <v>137</v>
      </c>
      <c r="J44" s="2" t="s">
        <v>101</v>
      </c>
      <c r="K44" s="2" t="s">
        <v>274</v>
      </c>
      <c r="L44" s="2" t="s">
        <v>6</v>
      </c>
      <c r="M44" s="7"/>
      <c r="N44" s="2"/>
      <c r="O44" s="2"/>
      <c r="P44" s="2"/>
    </row>
    <row r="45" spans="1:16" ht="60" customHeight="1" x14ac:dyDescent="0.25">
      <c r="A45" s="2"/>
      <c r="B45" s="2" t="s">
        <v>275</v>
      </c>
      <c r="C45" s="2" t="s">
        <v>276</v>
      </c>
      <c r="D45" s="2" t="s">
        <v>50</v>
      </c>
      <c r="E45" s="2" t="s">
        <v>247</v>
      </c>
      <c r="F45" s="2" t="s">
        <v>109</v>
      </c>
      <c r="G45" s="2" t="s">
        <v>98</v>
      </c>
      <c r="H45" s="2" t="s">
        <v>277</v>
      </c>
      <c r="I45" s="2" t="s">
        <v>137</v>
      </c>
      <c r="J45" s="2" t="s">
        <v>101</v>
      </c>
      <c r="K45" s="2" t="s">
        <v>278</v>
      </c>
      <c r="L45" s="2" t="s">
        <v>6</v>
      </c>
      <c r="M45" s="7"/>
      <c r="N45" s="2"/>
      <c r="O45" s="2"/>
      <c r="P45" s="2"/>
    </row>
    <row r="46" spans="1:16" ht="60" customHeight="1" x14ac:dyDescent="0.25">
      <c r="A46" s="2"/>
      <c r="B46" s="2" t="s">
        <v>279</v>
      </c>
      <c r="C46" s="2" t="s">
        <v>280</v>
      </c>
      <c r="D46" s="2" t="s">
        <v>50</v>
      </c>
      <c r="E46" s="2" t="s">
        <v>247</v>
      </c>
      <c r="F46" s="2" t="s">
        <v>109</v>
      </c>
      <c r="G46" s="2" t="s">
        <v>98</v>
      </c>
      <c r="H46" s="2" t="s">
        <v>281</v>
      </c>
      <c r="I46" s="2" t="s">
        <v>137</v>
      </c>
      <c r="J46" s="2" t="s">
        <v>101</v>
      </c>
      <c r="K46" s="2" t="s">
        <v>282</v>
      </c>
      <c r="L46" s="2" t="s">
        <v>6</v>
      </c>
      <c r="M46" s="7"/>
      <c r="N46" s="2"/>
      <c r="O46" s="2"/>
      <c r="P46" s="2"/>
    </row>
    <row r="47" spans="1:16" ht="60" customHeight="1" x14ac:dyDescent="0.25">
      <c r="A47" s="2"/>
      <c r="B47" s="2" t="s">
        <v>283</v>
      </c>
      <c r="C47" s="2" t="s">
        <v>284</v>
      </c>
      <c r="D47" s="2" t="s">
        <v>50</v>
      </c>
      <c r="E47" s="2" t="s">
        <v>247</v>
      </c>
      <c r="F47" s="2" t="s">
        <v>97</v>
      </c>
      <c r="G47" s="2" t="s">
        <v>141</v>
      </c>
      <c r="H47" s="2" t="s">
        <v>285</v>
      </c>
      <c r="I47" s="2" t="s">
        <v>137</v>
      </c>
      <c r="J47" s="2" t="s">
        <v>142</v>
      </c>
      <c r="K47" s="2" t="s">
        <v>286</v>
      </c>
      <c r="L47" s="2" t="s">
        <v>6</v>
      </c>
      <c r="M47" s="7"/>
      <c r="N47" s="2"/>
      <c r="O47" s="2"/>
      <c r="P47" s="2"/>
    </row>
    <row r="48" spans="1:16" ht="75" customHeight="1" x14ac:dyDescent="0.25">
      <c r="A48" s="2"/>
      <c r="B48" s="2" t="s">
        <v>287</v>
      </c>
      <c r="C48" s="2" t="s">
        <v>288</v>
      </c>
      <c r="D48" s="2" t="s">
        <v>52</v>
      </c>
      <c r="E48" s="2" t="s">
        <v>247</v>
      </c>
      <c r="F48" s="2" t="s">
        <v>234</v>
      </c>
      <c r="G48" s="2" t="s">
        <v>98</v>
      </c>
      <c r="H48" s="2" t="s">
        <v>289</v>
      </c>
      <c r="I48" s="2" t="s">
        <v>137</v>
      </c>
      <c r="J48" s="2" t="s">
        <v>101</v>
      </c>
      <c r="K48" s="2" t="s">
        <v>290</v>
      </c>
      <c r="L48" s="2" t="s">
        <v>6</v>
      </c>
      <c r="M48" s="7"/>
      <c r="N48" s="2"/>
      <c r="O48" s="2"/>
      <c r="P48" s="2"/>
    </row>
    <row r="49" spans="1:16" ht="90" customHeight="1" x14ac:dyDescent="0.25">
      <c r="A49" s="2"/>
      <c r="B49" s="2" t="s">
        <v>291</v>
      </c>
      <c r="C49" s="2" t="s">
        <v>292</v>
      </c>
      <c r="D49" s="2" t="s">
        <v>54</v>
      </c>
      <c r="E49" s="2" t="s">
        <v>247</v>
      </c>
      <c r="F49" s="2" t="s">
        <v>234</v>
      </c>
      <c r="G49" s="2" t="s">
        <v>98</v>
      </c>
      <c r="H49" s="2" t="s">
        <v>293</v>
      </c>
      <c r="I49" s="2" t="s">
        <v>137</v>
      </c>
      <c r="J49" s="2" t="s">
        <v>101</v>
      </c>
      <c r="K49" s="2" t="s">
        <v>294</v>
      </c>
      <c r="L49" s="2" t="s">
        <v>6</v>
      </c>
      <c r="M49" s="7"/>
      <c r="N49" s="2"/>
      <c r="O49" s="2"/>
      <c r="P49" s="2"/>
    </row>
    <row r="50" spans="1:16" ht="60" customHeight="1" x14ac:dyDescent="0.25">
      <c r="A50" s="2"/>
      <c r="B50" s="2" t="s">
        <v>295</v>
      </c>
      <c r="C50" s="2" t="s">
        <v>296</v>
      </c>
      <c r="D50" s="2" t="s">
        <v>50</v>
      </c>
      <c r="E50" s="2" t="s">
        <v>297</v>
      </c>
      <c r="F50" s="2" t="s">
        <v>97</v>
      </c>
      <c r="G50" s="2" t="s">
        <v>98</v>
      </c>
      <c r="H50" s="2" t="s">
        <v>298</v>
      </c>
      <c r="I50" s="2" t="s">
        <v>137</v>
      </c>
      <c r="J50" s="2" t="s">
        <v>101</v>
      </c>
      <c r="K50" s="2" t="s">
        <v>299</v>
      </c>
      <c r="L50" s="2" t="s">
        <v>6</v>
      </c>
      <c r="M50" s="7"/>
      <c r="N50" s="2"/>
      <c r="O50" s="2"/>
      <c r="P50" s="2"/>
    </row>
    <row r="51" spans="1:16" ht="60" customHeight="1" x14ac:dyDescent="0.25">
      <c r="A51" s="2"/>
      <c r="B51" s="2" t="s">
        <v>300</v>
      </c>
      <c r="C51" s="2" t="s">
        <v>301</v>
      </c>
      <c r="D51" s="2" t="s">
        <v>50</v>
      </c>
      <c r="E51" s="2" t="s">
        <v>297</v>
      </c>
      <c r="F51" s="2" t="s">
        <v>302</v>
      </c>
      <c r="G51" s="2" t="s">
        <v>98</v>
      </c>
      <c r="H51" s="2" t="s">
        <v>303</v>
      </c>
      <c r="I51" s="2" t="s">
        <v>137</v>
      </c>
      <c r="J51" s="2" t="s">
        <v>101</v>
      </c>
      <c r="K51" s="2" t="s">
        <v>304</v>
      </c>
      <c r="L51" s="2" t="s">
        <v>6</v>
      </c>
      <c r="M51" s="7"/>
      <c r="N51" s="2"/>
      <c r="O51" s="2"/>
      <c r="P51" s="2"/>
    </row>
    <row r="52" spans="1:16" ht="60" customHeight="1" x14ac:dyDescent="0.25">
      <c r="A52" s="2"/>
      <c r="B52" s="2" t="s">
        <v>305</v>
      </c>
      <c r="C52" s="2" t="s">
        <v>306</v>
      </c>
      <c r="D52" s="2" t="s">
        <v>50</v>
      </c>
      <c r="E52" s="2" t="s">
        <v>297</v>
      </c>
      <c r="F52" s="2" t="s">
        <v>302</v>
      </c>
      <c r="G52" s="2" t="s">
        <v>98</v>
      </c>
      <c r="H52" s="2" t="s">
        <v>307</v>
      </c>
      <c r="I52" s="2" t="s">
        <v>137</v>
      </c>
      <c r="J52" s="2" t="s">
        <v>101</v>
      </c>
      <c r="K52" s="2" t="s">
        <v>308</v>
      </c>
      <c r="L52" s="2" t="s">
        <v>6</v>
      </c>
      <c r="M52" s="7"/>
      <c r="N52" s="2"/>
      <c r="O52" s="2"/>
      <c r="P52" s="2"/>
    </row>
    <row r="53" spans="1:16" ht="60" customHeight="1" x14ac:dyDescent="0.25">
      <c r="A53" s="2"/>
      <c r="B53" s="2" t="s">
        <v>309</v>
      </c>
      <c r="C53" s="2" t="s">
        <v>310</v>
      </c>
      <c r="D53" s="2" t="s">
        <v>50</v>
      </c>
      <c r="E53" s="2" t="s">
        <v>297</v>
      </c>
      <c r="F53" s="2" t="s">
        <v>302</v>
      </c>
      <c r="G53" s="2" t="s">
        <v>98</v>
      </c>
      <c r="H53" s="2" t="s">
        <v>311</v>
      </c>
      <c r="I53" s="2" t="s">
        <v>137</v>
      </c>
      <c r="J53" s="2" t="s">
        <v>101</v>
      </c>
      <c r="K53" s="2" t="s">
        <v>312</v>
      </c>
      <c r="L53" s="2" t="s">
        <v>6</v>
      </c>
      <c r="M53" s="7"/>
      <c r="N53" s="2"/>
      <c r="O53" s="2"/>
      <c r="P53" s="2"/>
    </row>
    <row r="54" spans="1:16" ht="60" customHeight="1" x14ac:dyDescent="0.25">
      <c r="A54" s="2"/>
      <c r="B54" s="2" t="s">
        <v>313</v>
      </c>
      <c r="C54" s="2" t="s">
        <v>314</v>
      </c>
      <c r="D54" s="2" t="s">
        <v>50</v>
      </c>
      <c r="E54" s="2" t="s">
        <v>297</v>
      </c>
      <c r="F54" s="2" t="s">
        <v>302</v>
      </c>
      <c r="G54" s="2" t="s">
        <v>98</v>
      </c>
      <c r="H54" s="2" t="s">
        <v>315</v>
      </c>
      <c r="I54" s="2" t="s">
        <v>137</v>
      </c>
      <c r="J54" s="2" t="s">
        <v>101</v>
      </c>
      <c r="K54" s="2" t="s">
        <v>316</v>
      </c>
      <c r="L54" s="2" t="s">
        <v>6</v>
      </c>
      <c r="M54" s="7"/>
      <c r="N54" s="2"/>
      <c r="O54" s="2"/>
      <c r="P54" s="2"/>
    </row>
    <row r="55" spans="1:16" ht="60" customHeight="1" x14ac:dyDescent="0.25">
      <c r="A55" s="2"/>
      <c r="B55" s="2" t="s">
        <v>317</v>
      </c>
      <c r="C55" s="2" t="s">
        <v>318</v>
      </c>
      <c r="D55" s="2" t="s">
        <v>50</v>
      </c>
      <c r="E55" s="2" t="s">
        <v>297</v>
      </c>
      <c r="F55" s="2" t="s">
        <v>302</v>
      </c>
      <c r="G55" s="2" t="s">
        <v>98</v>
      </c>
      <c r="H55" s="2" t="s">
        <v>319</v>
      </c>
      <c r="I55" s="2" t="s">
        <v>137</v>
      </c>
      <c r="J55" s="2" t="s">
        <v>101</v>
      </c>
      <c r="K55" s="2" t="s">
        <v>320</v>
      </c>
      <c r="L55" s="2" t="s">
        <v>6</v>
      </c>
      <c r="M55" s="7"/>
      <c r="N55" s="2"/>
      <c r="O55" s="2"/>
      <c r="P55" s="2"/>
    </row>
    <row r="56" spans="1:16" ht="60" customHeight="1" x14ac:dyDescent="0.25">
      <c r="A56" s="2"/>
      <c r="B56" s="2" t="s">
        <v>321</v>
      </c>
      <c r="C56" s="2" t="s">
        <v>322</v>
      </c>
      <c r="D56" s="2" t="s">
        <v>50</v>
      </c>
      <c r="E56" s="2" t="s">
        <v>297</v>
      </c>
      <c r="F56" s="2" t="s">
        <v>109</v>
      </c>
      <c r="G56" s="2" t="s">
        <v>98</v>
      </c>
      <c r="H56" s="2" t="s">
        <v>323</v>
      </c>
      <c r="I56" s="2" t="s">
        <v>137</v>
      </c>
      <c r="J56" s="2" t="s">
        <v>101</v>
      </c>
      <c r="K56" s="2" t="s">
        <v>324</v>
      </c>
      <c r="L56" s="2" t="s">
        <v>6</v>
      </c>
      <c r="M56" s="7"/>
      <c r="N56" s="2"/>
      <c r="O56" s="2"/>
      <c r="P56" s="2"/>
    </row>
    <row r="57" spans="1:16" ht="60" customHeight="1" x14ac:dyDescent="0.25">
      <c r="A57" s="2"/>
      <c r="B57" s="2" t="s">
        <v>325</v>
      </c>
      <c r="C57" s="2" t="s">
        <v>326</v>
      </c>
      <c r="D57" s="2" t="s">
        <v>50</v>
      </c>
      <c r="E57" s="2" t="s">
        <v>297</v>
      </c>
      <c r="F57" s="2" t="s">
        <v>109</v>
      </c>
      <c r="G57" s="2" t="s">
        <v>98</v>
      </c>
      <c r="H57" s="2" t="s">
        <v>327</v>
      </c>
      <c r="I57" s="2" t="s">
        <v>137</v>
      </c>
      <c r="J57" s="2" t="s">
        <v>101</v>
      </c>
      <c r="K57" s="2" t="s">
        <v>328</v>
      </c>
      <c r="L57" s="2" t="s">
        <v>6</v>
      </c>
      <c r="M57" s="7"/>
      <c r="N57" s="2"/>
      <c r="O57" s="2"/>
      <c r="P57" s="2"/>
    </row>
    <row r="58" spans="1:16" ht="60" customHeight="1" x14ac:dyDescent="0.25">
      <c r="A58" s="2"/>
      <c r="B58" s="2" t="s">
        <v>329</v>
      </c>
      <c r="C58" s="2" t="s">
        <v>330</v>
      </c>
      <c r="D58" s="2" t="s">
        <v>50</v>
      </c>
      <c r="E58" s="2" t="s">
        <v>297</v>
      </c>
      <c r="F58" s="2" t="s">
        <v>109</v>
      </c>
      <c r="G58" s="2" t="s">
        <v>98</v>
      </c>
      <c r="H58" s="2" t="s">
        <v>331</v>
      </c>
      <c r="I58" s="2" t="s">
        <v>137</v>
      </c>
      <c r="J58" s="2" t="s">
        <v>101</v>
      </c>
      <c r="K58" s="2" t="s">
        <v>332</v>
      </c>
      <c r="L58" s="2" t="s">
        <v>6</v>
      </c>
      <c r="M58" s="7"/>
      <c r="N58" s="2"/>
      <c r="O58" s="2"/>
      <c r="P58" s="2"/>
    </row>
    <row r="59" spans="1:16" ht="60" customHeight="1" x14ac:dyDescent="0.25">
      <c r="A59" s="2"/>
      <c r="B59" s="2" t="s">
        <v>333</v>
      </c>
      <c r="C59" s="2" t="s">
        <v>334</v>
      </c>
      <c r="D59" s="2" t="s">
        <v>50</v>
      </c>
      <c r="E59" s="2" t="s">
        <v>297</v>
      </c>
      <c r="F59" s="2" t="s">
        <v>109</v>
      </c>
      <c r="G59" s="2" t="s">
        <v>98</v>
      </c>
      <c r="H59" s="2" t="s">
        <v>335</v>
      </c>
      <c r="I59" s="2" t="s">
        <v>137</v>
      </c>
      <c r="J59" s="2" t="s">
        <v>101</v>
      </c>
      <c r="K59" s="2" t="s">
        <v>336</v>
      </c>
      <c r="L59" s="2" t="s">
        <v>6</v>
      </c>
      <c r="M59" s="7"/>
      <c r="N59" s="2"/>
      <c r="O59" s="2"/>
      <c r="P59" s="2"/>
    </row>
    <row r="60" spans="1:16" ht="60" customHeight="1" x14ac:dyDescent="0.25">
      <c r="A60" s="2"/>
      <c r="B60" s="2" t="s">
        <v>337</v>
      </c>
      <c r="C60" s="2" t="s">
        <v>338</v>
      </c>
      <c r="D60" s="2" t="s">
        <v>50</v>
      </c>
      <c r="E60" s="2" t="s">
        <v>297</v>
      </c>
      <c r="F60" s="2" t="s">
        <v>302</v>
      </c>
      <c r="G60" s="2" t="s">
        <v>98</v>
      </c>
      <c r="H60" s="2" t="s">
        <v>339</v>
      </c>
      <c r="I60" s="2" t="s">
        <v>137</v>
      </c>
      <c r="J60" s="2" t="s">
        <v>101</v>
      </c>
      <c r="K60" s="2" t="s">
        <v>340</v>
      </c>
      <c r="L60" s="2" t="s">
        <v>6</v>
      </c>
      <c r="M60" s="7"/>
      <c r="N60" s="2"/>
      <c r="O60" s="2"/>
      <c r="P60" s="2"/>
    </row>
    <row r="61" spans="1:16" ht="60" customHeight="1" x14ac:dyDescent="0.25">
      <c r="A61" s="2"/>
      <c r="B61" s="2" t="s">
        <v>341</v>
      </c>
      <c r="C61" s="2" t="s">
        <v>342</v>
      </c>
      <c r="D61" s="2" t="s">
        <v>50</v>
      </c>
      <c r="E61" s="2" t="s">
        <v>297</v>
      </c>
      <c r="F61" s="2" t="s">
        <v>109</v>
      </c>
      <c r="G61" s="2" t="s">
        <v>98</v>
      </c>
      <c r="H61" s="2" t="s">
        <v>343</v>
      </c>
      <c r="I61" s="2" t="s">
        <v>137</v>
      </c>
      <c r="J61" s="2" t="s">
        <v>101</v>
      </c>
      <c r="K61" s="2" t="s">
        <v>344</v>
      </c>
      <c r="L61" s="2" t="s">
        <v>6</v>
      </c>
      <c r="M61" s="7"/>
      <c r="N61" s="2"/>
      <c r="O61" s="2"/>
      <c r="P61" s="2"/>
    </row>
    <row r="62" spans="1:16" ht="90" customHeight="1" x14ac:dyDescent="0.25">
      <c r="A62" s="2"/>
      <c r="B62" s="2" t="s">
        <v>345</v>
      </c>
      <c r="C62" s="2" t="s">
        <v>346</v>
      </c>
      <c r="D62" s="2" t="s">
        <v>50</v>
      </c>
      <c r="E62" s="2" t="s">
        <v>297</v>
      </c>
      <c r="F62" s="2" t="s">
        <v>109</v>
      </c>
      <c r="G62" s="2" t="s">
        <v>98</v>
      </c>
      <c r="H62" s="2" t="s">
        <v>347</v>
      </c>
      <c r="I62" s="2" t="s">
        <v>137</v>
      </c>
      <c r="J62" s="2" t="s">
        <v>348</v>
      </c>
      <c r="K62" s="2" t="s">
        <v>349</v>
      </c>
      <c r="L62" s="2" t="s">
        <v>6</v>
      </c>
      <c r="M62" s="7"/>
      <c r="N62" s="2"/>
      <c r="O62" s="2"/>
      <c r="P62" s="2"/>
    </row>
    <row r="63" spans="1:16" ht="60" customHeight="1" x14ac:dyDescent="0.25">
      <c r="A63" s="2"/>
      <c r="B63" s="2" t="s">
        <v>350</v>
      </c>
      <c r="C63" s="2" t="s">
        <v>351</v>
      </c>
      <c r="D63" s="2" t="s">
        <v>50</v>
      </c>
      <c r="E63" s="2" t="s">
        <v>297</v>
      </c>
      <c r="F63" s="2" t="s">
        <v>109</v>
      </c>
      <c r="G63" s="2" t="s">
        <v>98</v>
      </c>
      <c r="H63" s="2" t="s">
        <v>352</v>
      </c>
      <c r="I63" s="2" t="s">
        <v>137</v>
      </c>
      <c r="J63" s="2" t="s">
        <v>101</v>
      </c>
      <c r="K63" s="2" t="s">
        <v>353</v>
      </c>
      <c r="L63" s="2" t="s">
        <v>6</v>
      </c>
      <c r="M63" s="7"/>
      <c r="N63" s="2"/>
      <c r="O63" s="2"/>
      <c r="P63" s="2"/>
    </row>
    <row r="64" spans="1:16" ht="60" customHeight="1" x14ac:dyDescent="0.25">
      <c r="A64" s="2"/>
      <c r="B64" s="2" t="s">
        <v>354</v>
      </c>
      <c r="C64" s="2" t="s">
        <v>355</v>
      </c>
      <c r="D64" s="2" t="s">
        <v>50</v>
      </c>
      <c r="E64" s="2" t="s">
        <v>297</v>
      </c>
      <c r="F64" s="2" t="s">
        <v>109</v>
      </c>
      <c r="G64" s="2" t="s">
        <v>98</v>
      </c>
      <c r="H64" s="2" t="s">
        <v>356</v>
      </c>
      <c r="I64" s="2" t="s">
        <v>137</v>
      </c>
      <c r="J64" s="2" t="s">
        <v>101</v>
      </c>
      <c r="K64" s="2" t="s">
        <v>357</v>
      </c>
      <c r="L64" s="2" t="s">
        <v>6</v>
      </c>
      <c r="M64" s="7"/>
      <c r="N64" s="2"/>
      <c r="O64" s="2"/>
      <c r="P64" s="2"/>
    </row>
    <row r="65" spans="1:16" ht="75" customHeight="1" x14ac:dyDescent="0.25">
      <c r="A65" s="2"/>
      <c r="B65" s="2" t="s">
        <v>358</v>
      </c>
      <c r="C65" s="2" t="s">
        <v>359</v>
      </c>
      <c r="D65" s="2" t="s">
        <v>50</v>
      </c>
      <c r="E65" s="2" t="s">
        <v>297</v>
      </c>
      <c r="F65" s="2" t="s">
        <v>302</v>
      </c>
      <c r="G65" s="2" t="s">
        <v>98</v>
      </c>
      <c r="H65" s="2" t="s">
        <v>360</v>
      </c>
      <c r="I65" s="2" t="s">
        <v>137</v>
      </c>
      <c r="J65" s="2" t="s">
        <v>101</v>
      </c>
      <c r="K65" s="2" t="s">
        <v>361</v>
      </c>
      <c r="L65" s="2" t="s">
        <v>6</v>
      </c>
      <c r="M65" s="7"/>
      <c r="N65" s="2"/>
      <c r="O65" s="2"/>
      <c r="P65" s="2"/>
    </row>
    <row r="66" spans="1:16" ht="45" customHeight="1" x14ac:dyDescent="0.25">
      <c r="A66" s="2"/>
      <c r="B66" s="2" t="s">
        <v>362</v>
      </c>
      <c r="C66" s="2" t="s">
        <v>363</v>
      </c>
      <c r="D66" s="2" t="s">
        <v>50</v>
      </c>
      <c r="E66" s="2" t="s">
        <v>297</v>
      </c>
      <c r="F66" s="2" t="s">
        <v>109</v>
      </c>
      <c r="G66" s="2" t="s">
        <v>135</v>
      </c>
      <c r="H66" s="2" t="s">
        <v>364</v>
      </c>
      <c r="I66" s="2" t="s">
        <v>137</v>
      </c>
      <c r="J66" s="2" t="s">
        <v>138</v>
      </c>
      <c r="K66" s="2" t="s">
        <v>365</v>
      </c>
      <c r="L66" s="2" t="s">
        <v>6</v>
      </c>
      <c r="M66" s="7"/>
      <c r="N66" s="2"/>
      <c r="O66" s="2"/>
      <c r="P66" s="2"/>
    </row>
    <row r="67" spans="1:16" ht="60" customHeight="1" x14ac:dyDescent="0.25">
      <c r="A67" s="2"/>
      <c r="B67" s="2" t="s">
        <v>366</v>
      </c>
      <c r="C67" s="2" t="s">
        <v>363</v>
      </c>
      <c r="D67" s="2" t="s">
        <v>50</v>
      </c>
      <c r="E67" s="2" t="s">
        <v>297</v>
      </c>
      <c r="F67" s="2" t="s">
        <v>109</v>
      </c>
      <c r="G67" s="2" t="s">
        <v>141</v>
      </c>
      <c r="H67" s="2" t="s">
        <v>364</v>
      </c>
      <c r="I67" s="2" t="s">
        <v>137</v>
      </c>
      <c r="J67" s="2" t="s">
        <v>142</v>
      </c>
      <c r="K67" s="2" t="s">
        <v>365</v>
      </c>
      <c r="L67" s="2" t="s">
        <v>6</v>
      </c>
      <c r="M67" s="7"/>
      <c r="N67" s="2"/>
      <c r="O67" s="2"/>
      <c r="P67" s="2"/>
    </row>
    <row r="68" spans="1:16" ht="60" customHeight="1" x14ac:dyDescent="0.25">
      <c r="A68" s="2"/>
      <c r="B68" s="2" t="s">
        <v>367</v>
      </c>
      <c r="C68" s="2" t="s">
        <v>368</v>
      </c>
      <c r="D68" s="2" t="s">
        <v>50</v>
      </c>
      <c r="E68" s="2" t="s">
        <v>297</v>
      </c>
      <c r="F68" s="2" t="s">
        <v>109</v>
      </c>
      <c r="G68" s="2" t="s">
        <v>98</v>
      </c>
      <c r="H68" s="2" t="s">
        <v>369</v>
      </c>
      <c r="I68" s="2" t="s">
        <v>137</v>
      </c>
      <c r="J68" s="2" t="s">
        <v>101</v>
      </c>
      <c r="K68" s="2" t="s">
        <v>370</v>
      </c>
      <c r="L68" s="2" t="s">
        <v>6</v>
      </c>
      <c r="M68" s="7"/>
      <c r="N68" s="2"/>
      <c r="O68" s="2"/>
      <c r="P68" s="2"/>
    </row>
    <row r="69" spans="1:16" ht="60" customHeight="1" x14ac:dyDescent="0.25">
      <c r="A69" s="2"/>
      <c r="B69" s="2" t="s">
        <v>371</v>
      </c>
      <c r="C69" s="2" t="s">
        <v>372</v>
      </c>
      <c r="D69" s="2" t="s">
        <v>50</v>
      </c>
      <c r="E69" s="2" t="s">
        <v>297</v>
      </c>
      <c r="F69" s="2" t="s">
        <v>373</v>
      </c>
      <c r="G69" s="2" t="s">
        <v>98</v>
      </c>
      <c r="H69" s="2" t="s">
        <v>374</v>
      </c>
      <c r="I69" s="2" t="s">
        <v>137</v>
      </c>
      <c r="J69" s="2" t="s">
        <v>101</v>
      </c>
      <c r="K69" s="2" t="s">
        <v>375</v>
      </c>
      <c r="L69" s="2" t="s">
        <v>6</v>
      </c>
      <c r="M69" s="7"/>
      <c r="N69" s="2"/>
      <c r="O69" s="2"/>
      <c r="P69" s="2"/>
    </row>
    <row r="70" spans="1:16" ht="60" customHeight="1" x14ac:dyDescent="0.25">
      <c r="A70" s="2"/>
      <c r="B70" s="2" t="s">
        <v>376</v>
      </c>
      <c r="C70" s="2" t="s">
        <v>377</v>
      </c>
      <c r="D70" s="2" t="s">
        <v>50</v>
      </c>
      <c r="E70" s="2" t="s">
        <v>297</v>
      </c>
      <c r="F70" s="2" t="s">
        <v>109</v>
      </c>
      <c r="G70" s="2" t="s">
        <v>98</v>
      </c>
      <c r="H70" s="2" t="s">
        <v>378</v>
      </c>
      <c r="I70" s="2" t="s">
        <v>137</v>
      </c>
      <c r="J70" s="2" t="s">
        <v>101</v>
      </c>
      <c r="K70" s="2" t="s">
        <v>379</v>
      </c>
      <c r="L70" s="2" t="s">
        <v>6</v>
      </c>
      <c r="M70" s="7"/>
      <c r="N70" s="2"/>
      <c r="O70" s="2"/>
      <c r="P70" s="2"/>
    </row>
    <row r="71" spans="1:16" ht="60" customHeight="1" x14ac:dyDescent="0.25">
      <c r="A71" s="2"/>
      <c r="B71" s="2" t="s">
        <v>380</v>
      </c>
      <c r="C71" s="2" t="s">
        <v>381</v>
      </c>
      <c r="D71" s="2" t="s">
        <v>50</v>
      </c>
      <c r="E71" s="2" t="s">
        <v>297</v>
      </c>
      <c r="F71" s="2" t="s">
        <v>109</v>
      </c>
      <c r="G71" s="2" t="s">
        <v>98</v>
      </c>
      <c r="H71" s="2" t="s">
        <v>382</v>
      </c>
      <c r="I71" s="2" t="s">
        <v>137</v>
      </c>
      <c r="J71" s="2" t="s">
        <v>383</v>
      </c>
      <c r="K71" s="2" t="s">
        <v>384</v>
      </c>
      <c r="L71" s="2" t="s">
        <v>6</v>
      </c>
      <c r="M71" s="7"/>
      <c r="N71" s="2"/>
      <c r="O71" s="2"/>
      <c r="P71" s="2"/>
    </row>
    <row r="72" spans="1:16" ht="90" customHeight="1" x14ac:dyDescent="0.25">
      <c r="A72" s="2"/>
      <c r="B72" s="2" t="s">
        <v>385</v>
      </c>
      <c r="C72" s="2" t="s">
        <v>386</v>
      </c>
      <c r="D72" s="2" t="s">
        <v>50</v>
      </c>
      <c r="E72" s="2" t="s">
        <v>297</v>
      </c>
      <c r="F72" s="2" t="s">
        <v>109</v>
      </c>
      <c r="G72" s="2" t="s">
        <v>98</v>
      </c>
      <c r="H72" s="2" t="s">
        <v>387</v>
      </c>
      <c r="I72" s="2" t="s">
        <v>137</v>
      </c>
      <c r="J72" s="2" t="s">
        <v>388</v>
      </c>
      <c r="K72" s="2" t="s">
        <v>389</v>
      </c>
      <c r="L72" s="2" t="s">
        <v>6</v>
      </c>
      <c r="M72" s="7"/>
      <c r="N72" s="2"/>
      <c r="O72" s="2"/>
      <c r="P72" s="2"/>
    </row>
    <row r="73" spans="1:16" ht="60" customHeight="1" x14ac:dyDescent="0.25">
      <c r="A73" s="2"/>
      <c r="B73" s="2" t="s">
        <v>390</v>
      </c>
      <c r="C73" s="2" t="s">
        <v>391</v>
      </c>
      <c r="D73" s="2" t="s">
        <v>50</v>
      </c>
      <c r="E73" s="2" t="s">
        <v>297</v>
      </c>
      <c r="F73" s="2" t="s">
        <v>109</v>
      </c>
      <c r="G73" s="2" t="s">
        <v>98</v>
      </c>
      <c r="H73" s="2" t="s">
        <v>392</v>
      </c>
      <c r="I73" s="2" t="s">
        <v>137</v>
      </c>
      <c r="J73" s="2" t="s">
        <v>101</v>
      </c>
      <c r="K73" s="2" t="s">
        <v>393</v>
      </c>
      <c r="L73" s="2" t="s">
        <v>6</v>
      </c>
      <c r="M73" s="7"/>
      <c r="N73" s="2"/>
      <c r="O73" s="2"/>
      <c r="P73" s="2"/>
    </row>
    <row r="74" spans="1:16" ht="60" customHeight="1" x14ac:dyDescent="0.25">
      <c r="A74" s="2"/>
      <c r="B74" s="2" t="s">
        <v>394</v>
      </c>
      <c r="C74" s="2" t="s">
        <v>395</v>
      </c>
      <c r="D74" s="2" t="s">
        <v>50</v>
      </c>
      <c r="E74" s="2" t="s">
        <v>297</v>
      </c>
      <c r="F74" s="2" t="s">
        <v>109</v>
      </c>
      <c r="G74" s="2" t="s">
        <v>98</v>
      </c>
      <c r="H74" s="2" t="s">
        <v>396</v>
      </c>
      <c r="I74" s="2" t="s">
        <v>137</v>
      </c>
      <c r="J74" s="2" t="s">
        <v>101</v>
      </c>
      <c r="K74" s="2" t="s">
        <v>397</v>
      </c>
      <c r="L74" s="2" t="s">
        <v>6</v>
      </c>
      <c r="M74" s="7"/>
      <c r="N74" s="2"/>
      <c r="O74" s="2"/>
      <c r="P74" s="2"/>
    </row>
    <row r="75" spans="1:16" ht="45" customHeight="1" x14ac:dyDescent="0.25">
      <c r="A75" s="2"/>
      <c r="B75" s="2" t="s">
        <v>398</v>
      </c>
      <c r="C75" s="2" t="s">
        <v>399</v>
      </c>
      <c r="D75" s="2" t="s">
        <v>52</v>
      </c>
      <c r="E75" s="2" t="s">
        <v>400</v>
      </c>
      <c r="F75" s="2" t="s">
        <v>97</v>
      </c>
      <c r="G75" s="2" t="s">
        <v>135</v>
      </c>
      <c r="H75" s="2" t="s">
        <v>401</v>
      </c>
      <c r="I75" s="2" t="s">
        <v>137</v>
      </c>
      <c r="J75" s="2" t="s">
        <v>138</v>
      </c>
      <c r="K75" s="2" t="s">
        <v>402</v>
      </c>
      <c r="L75" s="2" t="s">
        <v>6</v>
      </c>
      <c r="M75" s="7"/>
      <c r="N75" s="2"/>
      <c r="O75" s="2"/>
      <c r="P75" s="2"/>
    </row>
    <row r="76" spans="1:16" ht="60" customHeight="1" x14ac:dyDescent="0.25">
      <c r="A76" s="2"/>
      <c r="B76" s="2" t="s">
        <v>403</v>
      </c>
      <c r="C76" s="2" t="s">
        <v>404</v>
      </c>
      <c r="D76" s="2" t="s">
        <v>52</v>
      </c>
      <c r="E76" s="2" t="s">
        <v>400</v>
      </c>
      <c r="F76" s="2" t="s">
        <v>97</v>
      </c>
      <c r="G76" s="2" t="s">
        <v>141</v>
      </c>
      <c r="H76" s="2" t="s">
        <v>405</v>
      </c>
      <c r="I76" s="2" t="s">
        <v>137</v>
      </c>
      <c r="J76" s="2" t="s">
        <v>142</v>
      </c>
      <c r="K76" s="2" t="s">
        <v>406</v>
      </c>
      <c r="L76" s="2" t="s">
        <v>6</v>
      </c>
      <c r="M76" s="7"/>
      <c r="N76" s="2"/>
      <c r="O76" s="2"/>
      <c r="P76" s="2"/>
    </row>
    <row r="77" spans="1:16" ht="60" customHeight="1" x14ac:dyDescent="0.25">
      <c r="A77" s="2"/>
      <c r="B77" s="2" t="s">
        <v>407</v>
      </c>
      <c r="C77" s="2" t="s">
        <v>408</v>
      </c>
      <c r="D77" s="2" t="s">
        <v>52</v>
      </c>
      <c r="E77" s="2" t="s">
        <v>400</v>
      </c>
      <c r="F77" s="2" t="s">
        <v>109</v>
      </c>
      <c r="G77" s="2" t="s">
        <v>98</v>
      </c>
      <c r="H77" s="2" t="s">
        <v>409</v>
      </c>
      <c r="I77" s="2" t="s">
        <v>137</v>
      </c>
      <c r="J77" s="2" t="s">
        <v>101</v>
      </c>
      <c r="K77" s="2" t="s">
        <v>410</v>
      </c>
      <c r="L77" s="2" t="s">
        <v>6</v>
      </c>
      <c r="M77" s="7"/>
      <c r="N77" s="2"/>
      <c r="O77" s="2"/>
      <c r="P77" s="2"/>
    </row>
    <row r="78" spans="1:16" ht="60" customHeight="1" x14ac:dyDescent="0.25">
      <c r="A78" s="2"/>
      <c r="B78" s="2" t="s">
        <v>411</v>
      </c>
      <c r="C78" s="2" t="s">
        <v>412</v>
      </c>
      <c r="D78" s="2" t="s">
        <v>52</v>
      </c>
      <c r="E78" s="2" t="s">
        <v>400</v>
      </c>
      <c r="F78" s="2" t="s">
        <v>109</v>
      </c>
      <c r="G78" s="2" t="s">
        <v>98</v>
      </c>
      <c r="H78" s="2" t="s">
        <v>413</v>
      </c>
      <c r="I78" s="2" t="s">
        <v>137</v>
      </c>
      <c r="J78" s="2" t="s">
        <v>101</v>
      </c>
      <c r="K78" s="2" t="s">
        <v>414</v>
      </c>
      <c r="L78" s="2" t="s">
        <v>6</v>
      </c>
      <c r="M78" s="7"/>
      <c r="N78" s="2"/>
      <c r="O78" s="2"/>
      <c r="P78" s="2"/>
    </row>
    <row r="79" spans="1:16" ht="60" customHeight="1" x14ac:dyDescent="0.25">
      <c r="A79" s="2"/>
      <c r="B79" s="2" t="s">
        <v>415</v>
      </c>
      <c r="C79" s="2" t="s">
        <v>416</v>
      </c>
      <c r="D79" s="2" t="s">
        <v>52</v>
      </c>
      <c r="E79" s="2" t="s">
        <v>400</v>
      </c>
      <c r="F79" s="2" t="s">
        <v>109</v>
      </c>
      <c r="G79" s="2" t="s">
        <v>98</v>
      </c>
      <c r="H79" s="2" t="s">
        <v>417</v>
      </c>
      <c r="I79" s="2" t="s">
        <v>137</v>
      </c>
      <c r="J79" s="2" t="s">
        <v>101</v>
      </c>
      <c r="K79" s="2" t="s">
        <v>418</v>
      </c>
      <c r="L79" s="2" t="s">
        <v>6</v>
      </c>
      <c r="M79" s="7"/>
      <c r="N79" s="2"/>
      <c r="O79" s="2"/>
      <c r="P79" s="2"/>
    </row>
    <row r="80" spans="1:16" ht="60" customHeight="1" x14ac:dyDescent="0.25">
      <c r="A80" s="2"/>
      <c r="B80" s="2" t="s">
        <v>419</v>
      </c>
      <c r="C80" s="2" t="s">
        <v>420</v>
      </c>
      <c r="D80" s="2" t="s">
        <v>52</v>
      </c>
      <c r="E80" s="2" t="s">
        <v>400</v>
      </c>
      <c r="F80" s="2" t="s">
        <v>109</v>
      </c>
      <c r="G80" s="2" t="s">
        <v>98</v>
      </c>
      <c r="H80" s="2" t="s">
        <v>421</v>
      </c>
      <c r="I80" s="2" t="s">
        <v>137</v>
      </c>
      <c r="J80" s="2" t="s">
        <v>422</v>
      </c>
      <c r="K80" s="2" t="s">
        <v>423</v>
      </c>
      <c r="L80" s="2" t="s">
        <v>6</v>
      </c>
      <c r="M80" s="7"/>
      <c r="N80" s="2"/>
      <c r="O80" s="2"/>
      <c r="P80" s="2"/>
    </row>
    <row r="81" spans="1:16" ht="60" customHeight="1" x14ac:dyDescent="0.25">
      <c r="A81" s="2"/>
      <c r="B81" s="2" t="s">
        <v>424</v>
      </c>
      <c r="C81" s="2" t="s">
        <v>425</v>
      </c>
      <c r="D81" s="2" t="s">
        <v>52</v>
      </c>
      <c r="E81" s="2" t="s">
        <v>400</v>
      </c>
      <c r="F81" s="2" t="s">
        <v>109</v>
      </c>
      <c r="G81" s="2" t="s">
        <v>98</v>
      </c>
      <c r="H81" s="2" t="s">
        <v>426</v>
      </c>
      <c r="I81" s="2" t="s">
        <v>137</v>
      </c>
      <c r="J81" s="2" t="s">
        <v>101</v>
      </c>
      <c r="K81" s="2" t="s">
        <v>427</v>
      </c>
      <c r="L81" s="2" t="s">
        <v>6</v>
      </c>
      <c r="M81" s="7"/>
      <c r="N81" s="2"/>
      <c r="O81" s="2"/>
      <c r="P81" s="2"/>
    </row>
    <row r="82" spans="1:16" ht="60" customHeight="1" x14ac:dyDescent="0.25">
      <c r="A82" s="2"/>
      <c r="B82" s="2" t="s">
        <v>428</v>
      </c>
      <c r="C82" s="2" t="s">
        <v>429</v>
      </c>
      <c r="D82" s="2" t="s">
        <v>52</v>
      </c>
      <c r="E82" s="2" t="s">
        <v>400</v>
      </c>
      <c r="F82" s="2" t="s">
        <v>109</v>
      </c>
      <c r="G82" s="2" t="s">
        <v>98</v>
      </c>
      <c r="H82" s="2" t="s">
        <v>430</v>
      </c>
      <c r="I82" s="2" t="s">
        <v>137</v>
      </c>
      <c r="J82" s="2" t="s">
        <v>101</v>
      </c>
      <c r="K82" s="2" t="s">
        <v>431</v>
      </c>
      <c r="L82" s="2" t="s">
        <v>6</v>
      </c>
      <c r="M82" s="7"/>
      <c r="N82" s="2"/>
      <c r="O82" s="2"/>
      <c r="P82" s="2"/>
    </row>
    <row r="83" spans="1:16" ht="60" customHeight="1" x14ac:dyDescent="0.25">
      <c r="A83" s="2"/>
      <c r="B83" s="2" t="s">
        <v>432</v>
      </c>
      <c r="C83" s="2" t="s">
        <v>433</v>
      </c>
      <c r="D83" s="2" t="s">
        <v>52</v>
      </c>
      <c r="E83" s="2" t="s">
        <v>400</v>
      </c>
      <c r="F83" s="2" t="s">
        <v>109</v>
      </c>
      <c r="G83" s="2" t="s">
        <v>98</v>
      </c>
      <c r="H83" s="2" t="s">
        <v>434</v>
      </c>
      <c r="I83" s="2" t="s">
        <v>137</v>
      </c>
      <c r="J83" s="2" t="s">
        <v>101</v>
      </c>
      <c r="K83" s="2" t="s">
        <v>435</v>
      </c>
      <c r="L83" s="2" t="s">
        <v>6</v>
      </c>
      <c r="M83" s="7"/>
      <c r="N83" s="2"/>
      <c r="O83" s="2"/>
      <c r="P83" s="2"/>
    </row>
    <row r="84" spans="1:16" ht="60" customHeight="1" x14ac:dyDescent="0.25">
      <c r="A84" s="2"/>
      <c r="B84" s="2" t="s">
        <v>436</v>
      </c>
      <c r="C84" s="2" t="s">
        <v>437</v>
      </c>
      <c r="D84" s="2" t="s">
        <v>52</v>
      </c>
      <c r="E84" s="2" t="s">
        <v>400</v>
      </c>
      <c r="F84" s="2" t="s">
        <v>109</v>
      </c>
      <c r="G84" s="2" t="s">
        <v>98</v>
      </c>
      <c r="H84" s="2" t="s">
        <v>438</v>
      </c>
      <c r="I84" s="2" t="s">
        <v>137</v>
      </c>
      <c r="J84" s="2" t="s">
        <v>101</v>
      </c>
      <c r="K84" s="2" t="s">
        <v>439</v>
      </c>
      <c r="L84" s="2" t="s">
        <v>6</v>
      </c>
      <c r="M84" s="7"/>
      <c r="N84" s="2"/>
      <c r="O84" s="2"/>
      <c r="P84" s="2"/>
    </row>
    <row r="85" spans="1:16" ht="60" customHeight="1" x14ac:dyDescent="0.25">
      <c r="A85" s="2"/>
      <c r="B85" s="2" t="s">
        <v>440</v>
      </c>
      <c r="C85" s="2" t="s">
        <v>441</v>
      </c>
      <c r="D85" s="2" t="s">
        <v>52</v>
      </c>
      <c r="E85" s="2" t="s">
        <v>400</v>
      </c>
      <c r="F85" s="2" t="s">
        <v>109</v>
      </c>
      <c r="G85" s="2" t="s">
        <v>98</v>
      </c>
      <c r="H85" s="2" t="s">
        <v>442</v>
      </c>
      <c r="I85" s="2" t="s">
        <v>137</v>
      </c>
      <c r="J85" s="2" t="s">
        <v>101</v>
      </c>
      <c r="K85" s="2" t="s">
        <v>443</v>
      </c>
      <c r="L85" s="2" t="s">
        <v>6</v>
      </c>
      <c r="M85" s="7"/>
      <c r="N85" s="2"/>
      <c r="O85" s="2"/>
      <c r="P85" s="2"/>
    </row>
    <row r="86" spans="1:16" ht="60" customHeight="1" x14ac:dyDescent="0.25">
      <c r="A86" s="2"/>
      <c r="B86" s="2" t="s">
        <v>444</v>
      </c>
      <c r="C86" s="2" t="s">
        <v>445</v>
      </c>
      <c r="D86" s="2" t="s">
        <v>52</v>
      </c>
      <c r="E86" s="2" t="s">
        <v>400</v>
      </c>
      <c r="F86" s="2" t="s">
        <v>109</v>
      </c>
      <c r="G86" s="2" t="s">
        <v>98</v>
      </c>
      <c r="H86" s="2" t="s">
        <v>446</v>
      </c>
      <c r="I86" s="2" t="s">
        <v>137</v>
      </c>
      <c r="J86" s="2" t="s">
        <v>101</v>
      </c>
      <c r="K86" s="2" t="s">
        <v>447</v>
      </c>
      <c r="L86" s="2" t="s">
        <v>6</v>
      </c>
      <c r="M86" s="7"/>
      <c r="N86" s="2"/>
      <c r="O86" s="2"/>
      <c r="P86" s="2"/>
    </row>
    <row r="87" spans="1:16" ht="60" customHeight="1" x14ac:dyDescent="0.25">
      <c r="A87" s="2"/>
      <c r="B87" s="2" t="s">
        <v>448</v>
      </c>
      <c r="C87" s="2" t="s">
        <v>449</v>
      </c>
      <c r="D87" s="2" t="s">
        <v>52</v>
      </c>
      <c r="E87" s="2" t="s">
        <v>400</v>
      </c>
      <c r="F87" s="2" t="s">
        <v>109</v>
      </c>
      <c r="G87" s="2" t="s">
        <v>98</v>
      </c>
      <c r="H87" s="2" t="s">
        <v>450</v>
      </c>
      <c r="I87" s="2" t="s">
        <v>137</v>
      </c>
      <c r="J87" s="2" t="s">
        <v>451</v>
      </c>
      <c r="K87" s="2" t="s">
        <v>452</v>
      </c>
      <c r="L87" s="2" t="s">
        <v>6</v>
      </c>
      <c r="M87" s="7"/>
      <c r="N87" s="2"/>
      <c r="O87" s="2"/>
      <c r="P87" s="2"/>
    </row>
    <row r="88" spans="1:16" ht="60" customHeight="1" x14ac:dyDescent="0.25">
      <c r="A88" s="2"/>
      <c r="B88" s="2" t="s">
        <v>453</v>
      </c>
      <c r="C88" s="2" t="s">
        <v>454</v>
      </c>
      <c r="D88" s="2" t="s">
        <v>52</v>
      </c>
      <c r="E88" s="2" t="s">
        <v>400</v>
      </c>
      <c r="F88" s="2" t="s">
        <v>109</v>
      </c>
      <c r="G88" s="2" t="s">
        <v>98</v>
      </c>
      <c r="H88" s="2" t="s">
        <v>455</v>
      </c>
      <c r="I88" s="2" t="s">
        <v>137</v>
      </c>
      <c r="J88" s="2" t="s">
        <v>101</v>
      </c>
      <c r="K88" s="2" t="s">
        <v>456</v>
      </c>
      <c r="L88" s="2" t="s">
        <v>6</v>
      </c>
      <c r="M88" s="7"/>
      <c r="N88" s="2"/>
      <c r="O88" s="2"/>
      <c r="P88" s="2"/>
    </row>
    <row r="89" spans="1:16" ht="60" customHeight="1" x14ac:dyDescent="0.25">
      <c r="A89" s="2"/>
      <c r="B89" s="2" t="s">
        <v>457</v>
      </c>
      <c r="C89" s="2" t="s">
        <v>458</v>
      </c>
      <c r="D89" s="2" t="s">
        <v>52</v>
      </c>
      <c r="E89" s="2" t="s">
        <v>400</v>
      </c>
      <c r="F89" s="2" t="s">
        <v>109</v>
      </c>
      <c r="G89" s="2" t="s">
        <v>98</v>
      </c>
      <c r="H89" s="2" t="s">
        <v>459</v>
      </c>
      <c r="I89" s="2" t="s">
        <v>137</v>
      </c>
      <c r="J89" s="2" t="s">
        <v>101</v>
      </c>
      <c r="K89" s="2" t="s">
        <v>460</v>
      </c>
      <c r="L89" s="2" t="s">
        <v>6</v>
      </c>
      <c r="M89" s="7"/>
      <c r="N89" s="2"/>
      <c r="O89" s="2"/>
      <c r="P89" s="2"/>
    </row>
    <row r="90" spans="1:16" ht="60" customHeight="1" x14ac:dyDescent="0.25">
      <c r="A90" s="2"/>
      <c r="B90" s="2" t="s">
        <v>461</v>
      </c>
      <c r="C90" s="2" t="s">
        <v>462</v>
      </c>
      <c r="D90" s="2" t="s">
        <v>52</v>
      </c>
      <c r="E90" s="2" t="s">
        <v>400</v>
      </c>
      <c r="F90" s="2" t="s">
        <v>234</v>
      </c>
      <c r="G90" s="2" t="s">
        <v>98</v>
      </c>
      <c r="H90" s="2" t="s">
        <v>463</v>
      </c>
      <c r="I90" s="2" t="s">
        <v>137</v>
      </c>
      <c r="J90" s="2" t="s">
        <v>101</v>
      </c>
      <c r="K90" s="2" t="s">
        <v>464</v>
      </c>
      <c r="L90" s="2" t="s">
        <v>6</v>
      </c>
      <c r="M90" s="7"/>
      <c r="N90" s="2"/>
      <c r="O90" s="2"/>
      <c r="P90" s="2"/>
    </row>
    <row r="91" spans="1:16" ht="60" customHeight="1" x14ac:dyDescent="0.25">
      <c r="A91" s="2"/>
      <c r="B91" s="2" t="s">
        <v>465</v>
      </c>
      <c r="C91" s="2" t="s">
        <v>466</v>
      </c>
      <c r="D91" s="2" t="s">
        <v>52</v>
      </c>
      <c r="E91" s="2" t="s">
        <v>467</v>
      </c>
      <c r="F91" s="2" t="s">
        <v>97</v>
      </c>
      <c r="G91" s="2" t="s">
        <v>98</v>
      </c>
      <c r="H91" s="2" t="s">
        <v>468</v>
      </c>
      <c r="I91" s="2" t="s">
        <v>469</v>
      </c>
      <c r="J91" s="2" t="s">
        <v>101</v>
      </c>
      <c r="K91" s="2" t="s">
        <v>470</v>
      </c>
      <c r="L91" s="2" t="s">
        <v>6</v>
      </c>
      <c r="M91" s="7"/>
      <c r="N91" s="2"/>
      <c r="O91" s="2"/>
      <c r="P91" s="2"/>
    </row>
    <row r="92" spans="1:16" ht="60" customHeight="1" x14ac:dyDescent="0.25">
      <c r="A92" s="2"/>
      <c r="B92" s="2" t="s">
        <v>471</v>
      </c>
      <c r="C92" s="2" t="s">
        <v>472</v>
      </c>
      <c r="D92" s="2" t="s">
        <v>52</v>
      </c>
      <c r="E92" s="2" t="s">
        <v>467</v>
      </c>
      <c r="F92" s="2" t="s">
        <v>109</v>
      </c>
      <c r="G92" s="2" t="s">
        <v>98</v>
      </c>
      <c r="H92" s="2" t="s">
        <v>473</v>
      </c>
      <c r="I92" s="2" t="s">
        <v>469</v>
      </c>
      <c r="J92" s="2" t="s">
        <v>101</v>
      </c>
      <c r="K92" s="2" t="s">
        <v>474</v>
      </c>
      <c r="L92" s="2" t="s">
        <v>6</v>
      </c>
      <c r="M92" s="7"/>
      <c r="N92" s="2"/>
      <c r="O92" s="2"/>
      <c r="P92" s="2"/>
    </row>
    <row r="93" spans="1:16" ht="60" customHeight="1" x14ac:dyDescent="0.25">
      <c r="A93" s="2"/>
      <c r="B93" s="2" t="s">
        <v>475</v>
      </c>
      <c r="C93" s="2" t="s">
        <v>476</v>
      </c>
      <c r="D93" s="2" t="s">
        <v>52</v>
      </c>
      <c r="E93" s="2" t="s">
        <v>467</v>
      </c>
      <c r="F93" s="2" t="s">
        <v>109</v>
      </c>
      <c r="G93" s="2" t="s">
        <v>98</v>
      </c>
      <c r="H93" s="2" t="s">
        <v>477</v>
      </c>
      <c r="I93" s="2" t="s">
        <v>469</v>
      </c>
      <c r="J93" s="2" t="s">
        <v>101</v>
      </c>
      <c r="K93" s="2" t="s">
        <v>478</v>
      </c>
      <c r="L93" s="2" t="s">
        <v>6</v>
      </c>
      <c r="M93" s="7"/>
      <c r="N93" s="2"/>
      <c r="O93" s="2"/>
      <c r="P93" s="2"/>
    </row>
    <row r="94" spans="1:16" ht="60" customHeight="1" x14ac:dyDescent="0.25">
      <c r="A94" s="2"/>
      <c r="B94" s="2" t="s">
        <v>479</v>
      </c>
      <c r="C94" s="2" t="s">
        <v>480</v>
      </c>
      <c r="D94" s="2" t="s">
        <v>52</v>
      </c>
      <c r="E94" s="2" t="s">
        <v>467</v>
      </c>
      <c r="F94" s="2" t="s">
        <v>109</v>
      </c>
      <c r="G94" s="2" t="s">
        <v>98</v>
      </c>
      <c r="H94" s="2" t="s">
        <v>481</v>
      </c>
      <c r="I94" s="2" t="s">
        <v>469</v>
      </c>
      <c r="J94" s="2" t="s">
        <v>101</v>
      </c>
      <c r="K94" s="2" t="s">
        <v>482</v>
      </c>
      <c r="L94" s="2" t="s">
        <v>6</v>
      </c>
      <c r="M94" s="7"/>
      <c r="N94" s="2"/>
      <c r="O94" s="2"/>
      <c r="P94" s="2"/>
    </row>
    <row r="95" spans="1:16" ht="60" customHeight="1" x14ac:dyDescent="0.25">
      <c r="A95" s="2"/>
      <c r="B95" s="2" t="s">
        <v>483</v>
      </c>
      <c r="C95" s="2" t="s">
        <v>484</v>
      </c>
      <c r="D95" s="2" t="s">
        <v>52</v>
      </c>
      <c r="E95" s="2" t="s">
        <v>467</v>
      </c>
      <c r="F95" s="2" t="s">
        <v>109</v>
      </c>
      <c r="G95" s="2" t="s">
        <v>98</v>
      </c>
      <c r="H95" s="2" t="s">
        <v>485</v>
      </c>
      <c r="I95" s="2" t="s">
        <v>469</v>
      </c>
      <c r="J95" s="2" t="s">
        <v>101</v>
      </c>
      <c r="K95" s="2" t="s">
        <v>486</v>
      </c>
      <c r="L95" s="2" t="s">
        <v>6</v>
      </c>
      <c r="M95" s="7"/>
      <c r="N95" s="2"/>
      <c r="O95" s="2"/>
      <c r="P95" s="2"/>
    </row>
    <row r="96" spans="1:16" ht="60" customHeight="1" x14ac:dyDescent="0.25">
      <c r="A96" s="2"/>
      <c r="B96" s="2" t="s">
        <v>487</v>
      </c>
      <c r="C96" s="2" t="s">
        <v>488</v>
      </c>
      <c r="D96" s="2" t="s">
        <v>52</v>
      </c>
      <c r="E96" s="2" t="s">
        <v>467</v>
      </c>
      <c r="F96" s="2" t="s">
        <v>109</v>
      </c>
      <c r="G96" s="2" t="s">
        <v>98</v>
      </c>
      <c r="H96" s="2" t="s">
        <v>489</v>
      </c>
      <c r="I96" s="2" t="s">
        <v>469</v>
      </c>
      <c r="J96" s="2" t="s">
        <v>101</v>
      </c>
      <c r="K96" s="2" t="s">
        <v>490</v>
      </c>
      <c r="L96" s="2" t="s">
        <v>6</v>
      </c>
      <c r="M96" s="7"/>
      <c r="N96" s="2"/>
      <c r="O96" s="2"/>
      <c r="P96" s="2"/>
    </row>
    <row r="97" spans="1:16" ht="60" customHeight="1" x14ac:dyDescent="0.25">
      <c r="A97" s="2"/>
      <c r="B97" s="2" t="s">
        <v>491</v>
      </c>
      <c r="C97" s="2" t="s">
        <v>492</v>
      </c>
      <c r="D97" s="2" t="s">
        <v>52</v>
      </c>
      <c r="E97" s="2" t="s">
        <v>467</v>
      </c>
      <c r="F97" s="2" t="s">
        <v>109</v>
      </c>
      <c r="G97" s="2" t="s">
        <v>98</v>
      </c>
      <c r="H97" s="2" t="s">
        <v>493</v>
      </c>
      <c r="I97" s="2" t="s">
        <v>469</v>
      </c>
      <c r="J97" s="2" t="s">
        <v>101</v>
      </c>
      <c r="K97" s="2" t="s">
        <v>494</v>
      </c>
      <c r="L97" s="2" t="s">
        <v>6</v>
      </c>
      <c r="M97" s="7"/>
      <c r="N97" s="2"/>
      <c r="O97" s="2"/>
      <c r="P97" s="2"/>
    </row>
    <row r="98" spans="1:16" ht="60" customHeight="1" x14ac:dyDescent="0.25">
      <c r="A98" s="2"/>
      <c r="B98" s="2" t="s">
        <v>495</v>
      </c>
      <c r="C98" s="2" t="s">
        <v>496</v>
      </c>
      <c r="D98" s="2" t="s">
        <v>52</v>
      </c>
      <c r="E98" s="2" t="s">
        <v>467</v>
      </c>
      <c r="F98" s="2" t="s">
        <v>109</v>
      </c>
      <c r="G98" s="2" t="s">
        <v>98</v>
      </c>
      <c r="H98" s="2" t="s">
        <v>497</v>
      </c>
      <c r="I98" s="2" t="s">
        <v>469</v>
      </c>
      <c r="J98" s="2" t="s">
        <v>101</v>
      </c>
      <c r="K98" s="2" t="s">
        <v>498</v>
      </c>
      <c r="L98" s="2" t="s">
        <v>6</v>
      </c>
      <c r="M98" s="7"/>
      <c r="N98" s="2"/>
      <c r="O98" s="2"/>
      <c r="P98" s="2"/>
    </row>
    <row r="99" spans="1:16" ht="60" customHeight="1" x14ac:dyDescent="0.25">
      <c r="A99" s="2"/>
      <c r="B99" s="2" t="s">
        <v>499</v>
      </c>
      <c r="C99" s="2" t="s">
        <v>500</v>
      </c>
      <c r="D99" s="2" t="s">
        <v>52</v>
      </c>
      <c r="E99" s="2" t="s">
        <v>467</v>
      </c>
      <c r="F99" s="2" t="s">
        <v>109</v>
      </c>
      <c r="G99" s="2" t="s">
        <v>98</v>
      </c>
      <c r="H99" s="2" t="s">
        <v>501</v>
      </c>
      <c r="I99" s="2" t="s">
        <v>469</v>
      </c>
      <c r="J99" s="2" t="s">
        <v>101</v>
      </c>
      <c r="K99" s="2" t="s">
        <v>502</v>
      </c>
      <c r="L99" s="2" t="s">
        <v>6</v>
      </c>
      <c r="M99" s="7"/>
      <c r="N99" s="2"/>
      <c r="O99" s="2"/>
      <c r="P99" s="2"/>
    </row>
    <row r="100" spans="1:16" ht="60" customHeight="1" x14ac:dyDescent="0.25">
      <c r="A100" s="2"/>
      <c r="B100" s="2" t="s">
        <v>503</v>
      </c>
      <c r="C100" s="2" t="s">
        <v>504</v>
      </c>
      <c r="D100" s="2" t="s">
        <v>52</v>
      </c>
      <c r="E100" s="2" t="s">
        <v>467</v>
      </c>
      <c r="F100" s="2" t="s">
        <v>109</v>
      </c>
      <c r="G100" s="2" t="s">
        <v>98</v>
      </c>
      <c r="H100" s="2" t="s">
        <v>505</v>
      </c>
      <c r="I100" s="2" t="s">
        <v>469</v>
      </c>
      <c r="J100" s="2" t="s">
        <v>101</v>
      </c>
      <c r="K100" s="2" t="s">
        <v>506</v>
      </c>
      <c r="L100" s="2" t="s">
        <v>6</v>
      </c>
      <c r="M100" s="7"/>
      <c r="N100" s="2"/>
      <c r="O100" s="2"/>
      <c r="P100" s="2"/>
    </row>
    <row r="101" spans="1:16" ht="60" customHeight="1" x14ac:dyDescent="0.25">
      <c r="A101" s="2"/>
      <c r="B101" s="2" t="s">
        <v>507</v>
      </c>
      <c r="C101" s="2" t="s">
        <v>508</v>
      </c>
      <c r="D101" s="2" t="s">
        <v>52</v>
      </c>
      <c r="E101" s="2" t="s">
        <v>467</v>
      </c>
      <c r="F101" s="2" t="s">
        <v>109</v>
      </c>
      <c r="G101" s="2" t="s">
        <v>98</v>
      </c>
      <c r="H101" s="2" t="s">
        <v>509</v>
      </c>
      <c r="I101" s="2" t="s">
        <v>469</v>
      </c>
      <c r="J101" s="2" t="s">
        <v>510</v>
      </c>
      <c r="K101" s="2" t="s">
        <v>511</v>
      </c>
      <c r="L101" s="2" t="s">
        <v>6</v>
      </c>
      <c r="M101" s="7"/>
      <c r="N101" s="2"/>
      <c r="O101" s="2"/>
      <c r="P101" s="2"/>
    </row>
    <row r="102" spans="1:16" ht="60" customHeight="1" x14ac:dyDescent="0.25">
      <c r="A102" s="2"/>
      <c r="B102" s="2" t="s">
        <v>512</v>
      </c>
      <c r="C102" s="2" t="s">
        <v>513</v>
      </c>
      <c r="D102" s="2" t="s">
        <v>52</v>
      </c>
      <c r="E102" s="2" t="s">
        <v>467</v>
      </c>
      <c r="F102" s="2" t="s">
        <v>109</v>
      </c>
      <c r="G102" s="2" t="s">
        <v>98</v>
      </c>
      <c r="H102" s="2" t="s">
        <v>514</v>
      </c>
      <c r="I102" s="2" t="s">
        <v>469</v>
      </c>
      <c r="J102" s="2" t="s">
        <v>101</v>
      </c>
      <c r="K102" s="2" t="s">
        <v>515</v>
      </c>
      <c r="L102" s="2" t="s">
        <v>6</v>
      </c>
      <c r="M102" s="7"/>
      <c r="N102" s="2"/>
      <c r="O102" s="2"/>
      <c r="P102" s="2"/>
    </row>
    <row r="103" spans="1:16" ht="75" customHeight="1" x14ac:dyDescent="0.25">
      <c r="A103" s="2"/>
      <c r="B103" s="2" t="s">
        <v>516</v>
      </c>
      <c r="C103" s="2" t="s">
        <v>517</v>
      </c>
      <c r="D103" s="2" t="s">
        <v>52</v>
      </c>
      <c r="E103" s="2" t="s">
        <v>467</v>
      </c>
      <c r="F103" s="2" t="s">
        <v>109</v>
      </c>
      <c r="G103" s="2" t="s">
        <v>98</v>
      </c>
      <c r="H103" s="2" t="s">
        <v>518</v>
      </c>
      <c r="I103" s="2" t="s">
        <v>469</v>
      </c>
      <c r="J103" s="2" t="s">
        <v>519</v>
      </c>
      <c r="K103" s="2" t="s">
        <v>520</v>
      </c>
      <c r="L103" s="2" t="s">
        <v>6</v>
      </c>
      <c r="M103" s="7"/>
      <c r="N103" s="2"/>
      <c r="O103" s="2"/>
      <c r="P103" s="2"/>
    </row>
    <row r="104" spans="1:16" ht="60" customHeight="1" x14ac:dyDescent="0.25">
      <c r="A104" s="2"/>
      <c r="B104" s="2" t="s">
        <v>521</v>
      </c>
      <c r="C104" s="2" t="s">
        <v>522</v>
      </c>
      <c r="D104" s="2" t="s">
        <v>52</v>
      </c>
      <c r="E104" s="2" t="s">
        <v>467</v>
      </c>
      <c r="F104" s="2" t="s">
        <v>109</v>
      </c>
      <c r="G104" s="2" t="s">
        <v>141</v>
      </c>
      <c r="H104" s="2" t="s">
        <v>523</v>
      </c>
      <c r="I104" s="2" t="s">
        <v>469</v>
      </c>
      <c r="J104" s="2" t="s">
        <v>524</v>
      </c>
      <c r="K104" s="2" t="s">
        <v>525</v>
      </c>
      <c r="L104" s="2" t="s">
        <v>6</v>
      </c>
      <c r="M104" s="7"/>
      <c r="N104" s="2"/>
      <c r="O104" s="2"/>
      <c r="P104" s="2"/>
    </row>
    <row r="105" spans="1:16" ht="60" customHeight="1" x14ac:dyDescent="0.25">
      <c r="A105" s="2"/>
      <c r="B105" s="2" t="s">
        <v>526</v>
      </c>
      <c r="C105" s="2" t="s">
        <v>527</v>
      </c>
      <c r="D105" s="2" t="s">
        <v>52</v>
      </c>
      <c r="E105" s="2" t="s">
        <v>467</v>
      </c>
      <c r="F105" s="2" t="s">
        <v>109</v>
      </c>
      <c r="G105" s="2" t="s">
        <v>141</v>
      </c>
      <c r="H105" s="2" t="s">
        <v>528</v>
      </c>
      <c r="I105" s="2" t="s">
        <v>469</v>
      </c>
      <c r="J105" s="2" t="s">
        <v>142</v>
      </c>
      <c r="K105" s="2" t="s">
        <v>529</v>
      </c>
      <c r="L105" s="2" t="s">
        <v>6</v>
      </c>
      <c r="M105" s="7"/>
      <c r="N105" s="2"/>
      <c r="O105" s="2"/>
      <c r="P105" s="2"/>
    </row>
    <row r="106" spans="1:16" ht="60" customHeight="1" x14ac:dyDescent="0.25">
      <c r="A106" s="2"/>
      <c r="B106" s="2" t="s">
        <v>530</v>
      </c>
      <c r="C106" s="2" t="s">
        <v>531</v>
      </c>
      <c r="D106" s="2" t="s">
        <v>52</v>
      </c>
      <c r="E106" s="2" t="s">
        <v>467</v>
      </c>
      <c r="F106" s="2" t="s">
        <v>109</v>
      </c>
      <c r="G106" s="2" t="s">
        <v>98</v>
      </c>
      <c r="H106" s="2" t="s">
        <v>532</v>
      </c>
      <c r="I106" s="2" t="s">
        <v>469</v>
      </c>
      <c r="J106" s="2" t="s">
        <v>101</v>
      </c>
      <c r="K106" s="2" t="s">
        <v>533</v>
      </c>
      <c r="L106" s="2" t="s">
        <v>6</v>
      </c>
      <c r="M106" s="7"/>
      <c r="N106" s="2"/>
      <c r="O106" s="2"/>
      <c r="P106" s="2"/>
    </row>
    <row r="107" spans="1:16" ht="60" customHeight="1" x14ac:dyDescent="0.25">
      <c r="A107" s="2"/>
      <c r="B107" s="2" t="s">
        <v>534</v>
      </c>
      <c r="C107" s="2" t="s">
        <v>535</v>
      </c>
      <c r="D107" s="2" t="s">
        <v>52</v>
      </c>
      <c r="E107" s="2" t="s">
        <v>467</v>
      </c>
      <c r="F107" s="2" t="s">
        <v>109</v>
      </c>
      <c r="G107" s="2" t="s">
        <v>98</v>
      </c>
      <c r="H107" s="2" t="s">
        <v>536</v>
      </c>
      <c r="I107" s="2" t="s">
        <v>469</v>
      </c>
      <c r="J107" s="2" t="s">
        <v>101</v>
      </c>
      <c r="K107" s="2" t="s">
        <v>537</v>
      </c>
      <c r="L107" s="2" t="s">
        <v>6</v>
      </c>
      <c r="M107" s="7"/>
      <c r="N107" s="2"/>
      <c r="O107" s="2"/>
      <c r="P107" s="2"/>
    </row>
    <row r="108" spans="1:16" ht="60" customHeight="1" x14ac:dyDescent="0.25">
      <c r="A108" s="2"/>
      <c r="B108" s="2" t="s">
        <v>538</v>
      </c>
      <c r="C108" s="2" t="s">
        <v>539</v>
      </c>
      <c r="D108" s="2" t="s">
        <v>52</v>
      </c>
      <c r="E108" s="2" t="s">
        <v>467</v>
      </c>
      <c r="F108" s="2" t="s">
        <v>109</v>
      </c>
      <c r="G108" s="2" t="s">
        <v>98</v>
      </c>
      <c r="H108" s="2" t="s">
        <v>540</v>
      </c>
      <c r="I108" s="2" t="s">
        <v>469</v>
      </c>
      <c r="J108" s="2" t="s">
        <v>101</v>
      </c>
      <c r="K108" s="2" t="s">
        <v>541</v>
      </c>
      <c r="L108" s="2" t="s">
        <v>6</v>
      </c>
      <c r="M108" s="7"/>
      <c r="N108" s="2"/>
      <c r="O108" s="2"/>
      <c r="P108" s="2"/>
    </row>
    <row r="109" spans="1:16" ht="75" customHeight="1" x14ac:dyDescent="0.25">
      <c r="A109" s="2"/>
      <c r="B109" s="2" t="s">
        <v>542</v>
      </c>
      <c r="C109" s="2" t="s">
        <v>543</v>
      </c>
      <c r="D109" s="2" t="s">
        <v>52</v>
      </c>
      <c r="E109" s="2" t="s">
        <v>467</v>
      </c>
      <c r="F109" s="2" t="s">
        <v>109</v>
      </c>
      <c r="G109" s="2" t="s">
        <v>98</v>
      </c>
      <c r="H109" s="2" t="s">
        <v>544</v>
      </c>
      <c r="I109" s="2" t="s">
        <v>469</v>
      </c>
      <c r="J109" s="2" t="s">
        <v>101</v>
      </c>
      <c r="K109" s="2" t="s">
        <v>545</v>
      </c>
      <c r="L109" s="2" t="s">
        <v>6</v>
      </c>
      <c r="M109" s="7"/>
      <c r="N109" s="2"/>
      <c r="O109" s="2"/>
      <c r="P109" s="2"/>
    </row>
    <row r="110" spans="1:16" ht="60" customHeight="1" x14ac:dyDescent="0.25">
      <c r="A110" s="2"/>
      <c r="B110" s="2" t="s">
        <v>546</v>
      </c>
      <c r="C110" s="2" t="s">
        <v>547</v>
      </c>
      <c r="D110" s="2" t="s">
        <v>52</v>
      </c>
      <c r="E110" s="2" t="s">
        <v>467</v>
      </c>
      <c r="F110" s="2" t="s">
        <v>109</v>
      </c>
      <c r="G110" s="2" t="s">
        <v>98</v>
      </c>
      <c r="H110" s="2" t="s">
        <v>548</v>
      </c>
      <c r="I110" s="2" t="s">
        <v>469</v>
      </c>
      <c r="J110" s="2" t="s">
        <v>101</v>
      </c>
      <c r="K110" s="2" t="s">
        <v>549</v>
      </c>
      <c r="L110" s="2" t="s">
        <v>6</v>
      </c>
      <c r="M110" s="7"/>
      <c r="N110" s="2"/>
      <c r="O110" s="2"/>
      <c r="P110" s="2"/>
    </row>
    <row r="111" spans="1:16" ht="60" customHeight="1" x14ac:dyDescent="0.25">
      <c r="A111" s="2"/>
      <c r="B111" s="2" t="s">
        <v>550</v>
      </c>
      <c r="C111" s="2" t="s">
        <v>551</v>
      </c>
      <c r="D111" s="2" t="s">
        <v>52</v>
      </c>
      <c r="E111" s="2" t="s">
        <v>467</v>
      </c>
      <c r="F111" s="2" t="s">
        <v>109</v>
      </c>
      <c r="G111" s="2" t="s">
        <v>98</v>
      </c>
      <c r="H111" s="2" t="s">
        <v>552</v>
      </c>
      <c r="I111" s="2" t="s">
        <v>469</v>
      </c>
      <c r="J111" s="2" t="s">
        <v>101</v>
      </c>
      <c r="K111" s="2" t="s">
        <v>553</v>
      </c>
      <c r="L111" s="2" t="s">
        <v>6</v>
      </c>
      <c r="M111" s="7"/>
      <c r="N111" s="2"/>
      <c r="O111" s="2"/>
      <c r="P111" s="2"/>
    </row>
    <row r="112" spans="1:16" ht="60" customHeight="1" x14ac:dyDescent="0.25">
      <c r="A112" s="2"/>
      <c r="B112" s="2" t="s">
        <v>554</v>
      </c>
      <c r="C112" s="2" t="s">
        <v>555</v>
      </c>
      <c r="D112" s="2" t="s">
        <v>52</v>
      </c>
      <c r="E112" s="2" t="s">
        <v>467</v>
      </c>
      <c r="F112" s="2" t="s">
        <v>109</v>
      </c>
      <c r="G112" s="2" t="s">
        <v>98</v>
      </c>
      <c r="H112" s="2" t="s">
        <v>556</v>
      </c>
      <c r="I112" s="2" t="s">
        <v>469</v>
      </c>
      <c r="J112" s="2" t="s">
        <v>101</v>
      </c>
      <c r="K112" s="2" t="s">
        <v>557</v>
      </c>
      <c r="L112" s="2" t="s">
        <v>6</v>
      </c>
      <c r="M112" s="7"/>
      <c r="N112" s="2"/>
      <c r="O112" s="2"/>
      <c r="P112" s="2"/>
    </row>
    <row r="113" spans="1:16" ht="60" customHeight="1" x14ac:dyDescent="0.25">
      <c r="A113" s="2"/>
      <c r="B113" s="2" t="s">
        <v>558</v>
      </c>
      <c r="C113" s="2" t="s">
        <v>559</v>
      </c>
      <c r="D113" s="2" t="s">
        <v>52</v>
      </c>
      <c r="E113" s="2" t="s">
        <v>467</v>
      </c>
      <c r="F113" s="2" t="s">
        <v>109</v>
      </c>
      <c r="G113" s="2" t="s">
        <v>98</v>
      </c>
      <c r="H113" s="2" t="s">
        <v>560</v>
      </c>
      <c r="I113" s="2" t="s">
        <v>469</v>
      </c>
      <c r="J113" s="2" t="s">
        <v>101</v>
      </c>
      <c r="K113" s="2" t="s">
        <v>561</v>
      </c>
      <c r="L113" s="2" t="s">
        <v>6</v>
      </c>
      <c r="M113" s="7"/>
      <c r="N113" s="2"/>
      <c r="O113" s="2"/>
      <c r="P113" s="2"/>
    </row>
    <row r="114" spans="1:16" ht="60" customHeight="1" x14ac:dyDescent="0.25">
      <c r="A114" s="2"/>
      <c r="B114" s="2" t="s">
        <v>562</v>
      </c>
      <c r="C114" s="2" t="s">
        <v>563</v>
      </c>
      <c r="D114" s="2" t="s">
        <v>52</v>
      </c>
      <c r="E114" s="2" t="s">
        <v>467</v>
      </c>
      <c r="F114" s="2" t="s">
        <v>109</v>
      </c>
      <c r="G114" s="2" t="s">
        <v>98</v>
      </c>
      <c r="H114" s="2" t="s">
        <v>564</v>
      </c>
      <c r="I114" s="2" t="s">
        <v>469</v>
      </c>
      <c r="J114" s="2" t="s">
        <v>101</v>
      </c>
      <c r="K114" s="2" t="s">
        <v>565</v>
      </c>
      <c r="L114" s="2" t="s">
        <v>6</v>
      </c>
      <c r="M114" s="7"/>
      <c r="N114" s="2"/>
      <c r="O114" s="2"/>
      <c r="P114" s="2"/>
    </row>
    <row r="115" spans="1:16" ht="60" customHeight="1" x14ac:dyDescent="0.25">
      <c r="A115" s="2"/>
      <c r="B115" s="2" t="s">
        <v>566</v>
      </c>
      <c r="C115" s="2" t="s">
        <v>567</v>
      </c>
      <c r="D115" s="2" t="s">
        <v>52</v>
      </c>
      <c r="E115" s="2" t="s">
        <v>467</v>
      </c>
      <c r="F115" s="2" t="s">
        <v>109</v>
      </c>
      <c r="G115" s="2" t="s">
        <v>98</v>
      </c>
      <c r="H115" s="2" t="s">
        <v>568</v>
      </c>
      <c r="I115" s="2" t="s">
        <v>469</v>
      </c>
      <c r="J115" s="2" t="s">
        <v>101</v>
      </c>
      <c r="K115" s="2" t="s">
        <v>569</v>
      </c>
      <c r="L115" s="2" t="s">
        <v>6</v>
      </c>
      <c r="M115" s="7"/>
      <c r="N115" s="2"/>
      <c r="O115" s="2"/>
      <c r="P115" s="2"/>
    </row>
    <row r="116" spans="1:16" ht="60" customHeight="1" x14ac:dyDescent="0.25">
      <c r="A116" s="2"/>
      <c r="B116" s="2" t="s">
        <v>570</v>
      </c>
      <c r="C116" s="2" t="s">
        <v>571</v>
      </c>
      <c r="D116" s="2" t="s">
        <v>52</v>
      </c>
      <c r="E116" s="2" t="s">
        <v>467</v>
      </c>
      <c r="F116" s="2" t="s">
        <v>109</v>
      </c>
      <c r="G116" s="2" t="s">
        <v>98</v>
      </c>
      <c r="H116" s="2" t="s">
        <v>572</v>
      </c>
      <c r="I116" s="2" t="s">
        <v>469</v>
      </c>
      <c r="J116" s="2" t="s">
        <v>101</v>
      </c>
      <c r="K116" s="2" t="s">
        <v>573</v>
      </c>
      <c r="L116" s="2" t="s">
        <v>6</v>
      </c>
      <c r="M116" s="7"/>
      <c r="N116" s="2"/>
      <c r="O116" s="2"/>
      <c r="P116" s="2"/>
    </row>
    <row r="117" spans="1:16" ht="60" customHeight="1" x14ac:dyDescent="0.25">
      <c r="A117" s="2"/>
      <c r="B117" s="2" t="s">
        <v>574</v>
      </c>
      <c r="C117" s="2" t="s">
        <v>575</v>
      </c>
      <c r="D117" s="2" t="s">
        <v>52</v>
      </c>
      <c r="E117" s="2" t="s">
        <v>467</v>
      </c>
      <c r="F117" s="2" t="s">
        <v>109</v>
      </c>
      <c r="G117" s="2" t="s">
        <v>135</v>
      </c>
      <c r="H117" s="2" t="s">
        <v>576</v>
      </c>
      <c r="I117" s="2" t="s">
        <v>469</v>
      </c>
      <c r="J117" s="2" t="s">
        <v>138</v>
      </c>
      <c r="K117" s="2" t="s">
        <v>577</v>
      </c>
      <c r="L117" s="2" t="s">
        <v>6</v>
      </c>
      <c r="M117" s="7"/>
      <c r="N117" s="2"/>
      <c r="O117" s="2"/>
      <c r="P117" s="2"/>
    </row>
    <row r="118" spans="1:16" ht="75" customHeight="1" x14ac:dyDescent="0.25">
      <c r="A118" s="2"/>
      <c r="B118" s="2" t="s">
        <v>578</v>
      </c>
      <c r="C118" s="2" t="s">
        <v>579</v>
      </c>
      <c r="D118" s="2" t="s">
        <v>52</v>
      </c>
      <c r="E118" s="2" t="s">
        <v>467</v>
      </c>
      <c r="F118" s="2" t="s">
        <v>234</v>
      </c>
      <c r="G118" s="2" t="s">
        <v>98</v>
      </c>
      <c r="H118" s="2" t="s">
        <v>580</v>
      </c>
      <c r="I118" s="2" t="s">
        <v>469</v>
      </c>
      <c r="J118" s="2" t="s">
        <v>101</v>
      </c>
      <c r="K118" s="2" t="s">
        <v>581</v>
      </c>
      <c r="L118" s="2" t="s">
        <v>6</v>
      </c>
      <c r="M118" s="7"/>
      <c r="N118" s="2"/>
      <c r="O118" s="2"/>
      <c r="P118" s="2"/>
    </row>
    <row r="119" spans="1:16" ht="90" customHeight="1" x14ac:dyDescent="0.25">
      <c r="A119" s="2"/>
      <c r="B119" s="2" t="s">
        <v>582</v>
      </c>
      <c r="C119" s="2" t="s">
        <v>583</v>
      </c>
      <c r="D119" s="2" t="s">
        <v>52</v>
      </c>
      <c r="E119" s="2" t="s">
        <v>467</v>
      </c>
      <c r="F119" s="2" t="s">
        <v>109</v>
      </c>
      <c r="G119" s="2" t="s">
        <v>98</v>
      </c>
      <c r="H119" s="2" t="s">
        <v>584</v>
      </c>
      <c r="I119" s="2" t="s">
        <v>469</v>
      </c>
      <c r="J119" s="2" t="s">
        <v>101</v>
      </c>
      <c r="K119" s="2" t="s">
        <v>585</v>
      </c>
      <c r="L119" s="2" t="s">
        <v>6</v>
      </c>
      <c r="M119" s="7"/>
      <c r="N119" s="2"/>
      <c r="O119" s="2"/>
      <c r="P119" s="2"/>
    </row>
    <row r="120" spans="1:16" ht="60" customHeight="1" x14ac:dyDescent="0.25">
      <c r="A120" s="2"/>
      <c r="B120" s="2" t="s">
        <v>586</v>
      </c>
      <c r="C120" s="2" t="s">
        <v>587</v>
      </c>
      <c r="D120" s="2" t="s">
        <v>54</v>
      </c>
      <c r="E120" s="2" t="s">
        <v>588</v>
      </c>
      <c r="F120" s="2" t="s">
        <v>109</v>
      </c>
      <c r="G120" s="2" t="s">
        <v>98</v>
      </c>
      <c r="H120" s="2" t="s">
        <v>589</v>
      </c>
      <c r="I120" s="2" t="s">
        <v>137</v>
      </c>
      <c r="J120" s="2" t="s">
        <v>101</v>
      </c>
      <c r="K120" s="2" t="s">
        <v>590</v>
      </c>
      <c r="L120" s="2" t="s">
        <v>6</v>
      </c>
      <c r="M120" s="7"/>
      <c r="N120" s="2"/>
      <c r="O120" s="2"/>
      <c r="P120" s="2"/>
    </row>
    <row r="121" spans="1:16" ht="60" customHeight="1" x14ac:dyDescent="0.25">
      <c r="A121" s="2"/>
      <c r="B121" s="2" t="s">
        <v>591</v>
      </c>
      <c r="C121" s="2" t="s">
        <v>592</v>
      </c>
      <c r="D121" s="2" t="s">
        <v>54</v>
      </c>
      <c r="E121" s="2" t="s">
        <v>588</v>
      </c>
      <c r="F121" s="2" t="s">
        <v>109</v>
      </c>
      <c r="G121" s="2" t="s">
        <v>98</v>
      </c>
      <c r="H121" s="2" t="s">
        <v>593</v>
      </c>
      <c r="I121" s="2" t="s">
        <v>137</v>
      </c>
      <c r="J121" s="2" t="s">
        <v>101</v>
      </c>
      <c r="K121" s="2" t="s">
        <v>594</v>
      </c>
      <c r="L121" s="2" t="s">
        <v>6</v>
      </c>
      <c r="M121" s="7"/>
      <c r="N121" s="2"/>
      <c r="O121" s="2"/>
      <c r="P121" s="2"/>
    </row>
    <row r="122" spans="1:16" ht="60" customHeight="1" x14ac:dyDescent="0.25">
      <c r="A122" s="2"/>
      <c r="B122" s="2" t="s">
        <v>595</v>
      </c>
      <c r="C122" s="2" t="s">
        <v>596</v>
      </c>
      <c r="D122" s="2" t="s">
        <v>54</v>
      </c>
      <c r="E122" s="2" t="s">
        <v>588</v>
      </c>
      <c r="F122" s="2" t="s">
        <v>109</v>
      </c>
      <c r="G122" s="2" t="s">
        <v>98</v>
      </c>
      <c r="H122" s="2" t="s">
        <v>597</v>
      </c>
      <c r="I122" s="2" t="s">
        <v>137</v>
      </c>
      <c r="J122" s="2" t="s">
        <v>101</v>
      </c>
      <c r="K122" s="2" t="s">
        <v>598</v>
      </c>
      <c r="L122" s="2" t="s">
        <v>6</v>
      </c>
      <c r="M122" s="7"/>
      <c r="N122" s="2"/>
      <c r="O122" s="2"/>
      <c r="P122" s="2"/>
    </row>
    <row r="123" spans="1:16" ht="60" customHeight="1" x14ac:dyDescent="0.25">
      <c r="A123" s="2"/>
      <c r="B123" s="2" t="s">
        <v>599</v>
      </c>
      <c r="C123" s="2" t="s">
        <v>600</v>
      </c>
      <c r="D123" s="2" t="s">
        <v>54</v>
      </c>
      <c r="E123" s="2" t="s">
        <v>588</v>
      </c>
      <c r="F123" s="2" t="s">
        <v>109</v>
      </c>
      <c r="G123" s="2" t="s">
        <v>98</v>
      </c>
      <c r="H123" s="2" t="s">
        <v>601</v>
      </c>
      <c r="I123" s="2" t="s">
        <v>137</v>
      </c>
      <c r="J123" s="2" t="s">
        <v>101</v>
      </c>
      <c r="K123" s="2" t="s">
        <v>602</v>
      </c>
      <c r="L123" s="2" t="s">
        <v>6</v>
      </c>
      <c r="M123" s="7"/>
      <c r="N123" s="2"/>
      <c r="O123" s="2"/>
      <c r="P123" s="2"/>
    </row>
    <row r="124" spans="1:16" ht="60" customHeight="1" x14ac:dyDescent="0.25">
      <c r="A124" s="2"/>
      <c r="B124" s="2" t="s">
        <v>603</v>
      </c>
      <c r="C124" s="2" t="s">
        <v>604</v>
      </c>
      <c r="D124" s="2" t="s">
        <v>54</v>
      </c>
      <c r="E124" s="2" t="s">
        <v>588</v>
      </c>
      <c r="F124" s="2" t="s">
        <v>109</v>
      </c>
      <c r="G124" s="2" t="s">
        <v>98</v>
      </c>
      <c r="H124" s="2" t="s">
        <v>605</v>
      </c>
      <c r="I124" s="2" t="s">
        <v>137</v>
      </c>
      <c r="J124" s="2" t="s">
        <v>101</v>
      </c>
      <c r="K124" s="2" t="s">
        <v>606</v>
      </c>
      <c r="L124" s="2" t="s">
        <v>6</v>
      </c>
      <c r="M124" s="7"/>
      <c r="N124" s="2"/>
      <c r="O124" s="2"/>
      <c r="P124" s="2"/>
    </row>
    <row r="125" spans="1:16" ht="60" customHeight="1" x14ac:dyDescent="0.25">
      <c r="A125" s="2"/>
      <c r="B125" s="2" t="s">
        <v>607</v>
      </c>
      <c r="C125" s="2" t="s">
        <v>608</v>
      </c>
      <c r="D125" s="2" t="s">
        <v>54</v>
      </c>
      <c r="E125" s="2" t="s">
        <v>588</v>
      </c>
      <c r="F125" s="2" t="s">
        <v>109</v>
      </c>
      <c r="G125" s="2" t="s">
        <v>98</v>
      </c>
      <c r="H125" s="2" t="s">
        <v>609</v>
      </c>
      <c r="I125" s="2" t="s">
        <v>137</v>
      </c>
      <c r="J125" s="2" t="s">
        <v>101</v>
      </c>
      <c r="K125" s="2" t="s">
        <v>610</v>
      </c>
      <c r="L125" s="2" t="s">
        <v>6</v>
      </c>
      <c r="M125" s="7"/>
      <c r="N125" s="2"/>
      <c r="O125" s="2"/>
      <c r="P125" s="2"/>
    </row>
    <row r="126" spans="1:16" ht="60" customHeight="1" x14ac:dyDescent="0.25">
      <c r="A126" s="2"/>
      <c r="B126" s="2" t="s">
        <v>611</v>
      </c>
      <c r="C126" s="2" t="s">
        <v>612</v>
      </c>
      <c r="D126" s="2" t="s">
        <v>54</v>
      </c>
      <c r="E126" s="2" t="s">
        <v>588</v>
      </c>
      <c r="F126" s="2" t="s">
        <v>109</v>
      </c>
      <c r="G126" s="2" t="s">
        <v>98</v>
      </c>
      <c r="H126" s="2" t="s">
        <v>613</v>
      </c>
      <c r="I126" s="2" t="s">
        <v>137</v>
      </c>
      <c r="J126" s="2" t="s">
        <v>101</v>
      </c>
      <c r="K126" s="2" t="s">
        <v>614</v>
      </c>
      <c r="L126" s="2" t="s">
        <v>6</v>
      </c>
      <c r="M126" s="7"/>
      <c r="N126" s="2"/>
      <c r="O126" s="2"/>
      <c r="P126" s="2"/>
    </row>
    <row r="127" spans="1:16" ht="60" customHeight="1" x14ac:dyDescent="0.25">
      <c r="A127" s="2"/>
      <c r="B127" s="2" t="s">
        <v>615</v>
      </c>
      <c r="C127" s="2" t="s">
        <v>616</v>
      </c>
      <c r="D127" s="2" t="s">
        <v>54</v>
      </c>
      <c r="E127" s="2" t="s">
        <v>588</v>
      </c>
      <c r="F127" s="2" t="s">
        <v>109</v>
      </c>
      <c r="G127" s="2" t="s">
        <v>98</v>
      </c>
      <c r="H127" s="2" t="s">
        <v>617</v>
      </c>
      <c r="I127" s="2" t="s">
        <v>137</v>
      </c>
      <c r="J127" s="2" t="s">
        <v>101</v>
      </c>
      <c r="K127" s="2" t="s">
        <v>618</v>
      </c>
      <c r="L127" s="2" t="s">
        <v>6</v>
      </c>
      <c r="M127" s="7"/>
      <c r="N127" s="2"/>
      <c r="O127" s="2"/>
      <c r="P127" s="2"/>
    </row>
    <row r="128" spans="1:16" ht="60" customHeight="1" x14ac:dyDescent="0.25">
      <c r="A128" s="2"/>
      <c r="B128" s="2" t="s">
        <v>619</v>
      </c>
      <c r="C128" s="2" t="s">
        <v>620</v>
      </c>
      <c r="D128" s="2" t="s">
        <v>54</v>
      </c>
      <c r="E128" s="2" t="s">
        <v>588</v>
      </c>
      <c r="F128" s="2" t="s">
        <v>302</v>
      </c>
      <c r="G128" s="2" t="s">
        <v>98</v>
      </c>
      <c r="H128" s="2" t="s">
        <v>621</v>
      </c>
      <c r="I128" s="2" t="s">
        <v>137</v>
      </c>
      <c r="J128" s="2" t="s">
        <v>101</v>
      </c>
      <c r="K128" s="2" t="s">
        <v>622</v>
      </c>
      <c r="L128" s="2" t="s">
        <v>6</v>
      </c>
      <c r="M128" s="7"/>
      <c r="N128" s="2"/>
      <c r="O128" s="2"/>
      <c r="P128" s="2"/>
    </row>
    <row r="129" spans="1:16" ht="60" customHeight="1" x14ac:dyDescent="0.25">
      <c r="A129" s="2"/>
      <c r="B129" s="2" t="s">
        <v>623</v>
      </c>
      <c r="C129" s="2" t="s">
        <v>624</v>
      </c>
      <c r="D129" s="2" t="s">
        <v>54</v>
      </c>
      <c r="E129" s="2" t="s">
        <v>588</v>
      </c>
      <c r="F129" s="2" t="s">
        <v>109</v>
      </c>
      <c r="G129" s="2" t="s">
        <v>98</v>
      </c>
      <c r="H129" s="2" t="s">
        <v>625</v>
      </c>
      <c r="I129" s="2" t="s">
        <v>137</v>
      </c>
      <c r="J129" s="2" t="s">
        <v>101</v>
      </c>
      <c r="K129" s="2" t="s">
        <v>626</v>
      </c>
      <c r="L129" s="2" t="s">
        <v>6</v>
      </c>
      <c r="M129" s="7"/>
      <c r="N129" s="2"/>
      <c r="O129" s="2"/>
      <c r="P129" s="2"/>
    </row>
    <row r="130" spans="1:16" ht="60" customHeight="1" x14ac:dyDescent="0.25">
      <c r="A130" s="2"/>
      <c r="B130" s="2" t="s">
        <v>627</v>
      </c>
      <c r="C130" s="2" t="s">
        <v>628</v>
      </c>
      <c r="D130" s="2" t="s">
        <v>54</v>
      </c>
      <c r="E130" s="2" t="s">
        <v>588</v>
      </c>
      <c r="F130" s="2" t="s">
        <v>109</v>
      </c>
      <c r="G130" s="2" t="s">
        <v>98</v>
      </c>
      <c r="H130" s="2" t="s">
        <v>629</v>
      </c>
      <c r="I130" s="2" t="s">
        <v>137</v>
      </c>
      <c r="J130" s="2" t="s">
        <v>101</v>
      </c>
      <c r="K130" s="2" t="s">
        <v>630</v>
      </c>
      <c r="L130" s="2" t="s">
        <v>6</v>
      </c>
      <c r="M130" s="7"/>
      <c r="N130" s="2"/>
      <c r="O130" s="2"/>
      <c r="P130" s="2"/>
    </row>
    <row r="131" spans="1:16" ht="60" customHeight="1" x14ac:dyDescent="0.25">
      <c r="A131" s="2"/>
      <c r="B131" s="2" t="s">
        <v>631</v>
      </c>
      <c r="C131" s="2" t="s">
        <v>632</v>
      </c>
      <c r="D131" s="2" t="s">
        <v>54</v>
      </c>
      <c r="E131" s="2" t="s">
        <v>588</v>
      </c>
      <c r="F131" s="2" t="s">
        <v>234</v>
      </c>
      <c r="G131" s="2" t="s">
        <v>98</v>
      </c>
      <c r="H131" s="2" t="s">
        <v>633</v>
      </c>
      <c r="I131" s="2" t="s">
        <v>137</v>
      </c>
      <c r="J131" s="2" t="s">
        <v>101</v>
      </c>
      <c r="K131" s="2" t="s">
        <v>634</v>
      </c>
      <c r="L131" s="2" t="s">
        <v>6</v>
      </c>
      <c r="M131" s="7"/>
      <c r="N131" s="2"/>
      <c r="O131" s="2"/>
      <c r="P131" s="2"/>
    </row>
    <row r="132" spans="1:16" ht="75" customHeight="1" x14ac:dyDescent="0.25">
      <c r="A132" s="2"/>
      <c r="B132" s="2" t="s">
        <v>635</v>
      </c>
      <c r="C132" s="2" t="s">
        <v>636</v>
      </c>
      <c r="D132" s="2" t="s">
        <v>54</v>
      </c>
      <c r="E132" s="2" t="s">
        <v>588</v>
      </c>
      <c r="F132" s="2" t="s">
        <v>109</v>
      </c>
      <c r="G132" s="2" t="s">
        <v>98</v>
      </c>
      <c r="H132" s="2" t="s">
        <v>637</v>
      </c>
      <c r="I132" s="2" t="s">
        <v>137</v>
      </c>
      <c r="J132" s="2" t="s">
        <v>638</v>
      </c>
      <c r="K132" s="2" t="s">
        <v>639</v>
      </c>
      <c r="L132" s="2" t="s">
        <v>6</v>
      </c>
      <c r="M132" s="7"/>
      <c r="N132" s="2"/>
      <c r="O132" s="2"/>
      <c r="P132" s="2"/>
    </row>
    <row r="133" spans="1:16" ht="60" customHeight="1" x14ac:dyDescent="0.25">
      <c r="A133" s="2"/>
      <c r="B133" s="2" t="s">
        <v>640</v>
      </c>
      <c r="C133" s="2" t="s">
        <v>641</v>
      </c>
      <c r="D133" s="2" t="s">
        <v>54</v>
      </c>
      <c r="E133" s="2" t="s">
        <v>642</v>
      </c>
      <c r="F133" s="2" t="s">
        <v>97</v>
      </c>
      <c r="G133" s="2" t="s">
        <v>98</v>
      </c>
      <c r="H133" s="2" t="s">
        <v>643</v>
      </c>
      <c r="I133" s="2" t="s">
        <v>137</v>
      </c>
      <c r="J133" s="2" t="s">
        <v>101</v>
      </c>
      <c r="K133" s="2" t="s">
        <v>644</v>
      </c>
      <c r="L133" s="2" t="s">
        <v>6</v>
      </c>
      <c r="M133" s="7"/>
      <c r="N133" s="2"/>
      <c r="O133" s="2"/>
      <c r="P133" s="2"/>
    </row>
    <row r="134" spans="1:16" ht="60" customHeight="1" x14ac:dyDescent="0.25">
      <c r="A134" s="2"/>
      <c r="B134" s="2" t="s">
        <v>645</v>
      </c>
      <c r="C134" s="2" t="s">
        <v>646</v>
      </c>
      <c r="D134" s="2" t="s">
        <v>54</v>
      </c>
      <c r="E134" s="2" t="s">
        <v>642</v>
      </c>
      <c r="F134" s="2" t="s">
        <v>97</v>
      </c>
      <c r="G134" s="2" t="s">
        <v>98</v>
      </c>
      <c r="H134" s="2" t="s">
        <v>647</v>
      </c>
      <c r="I134" s="2" t="s">
        <v>137</v>
      </c>
      <c r="J134" s="2" t="s">
        <v>101</v>
      </c>
      <c r="K134" s="2" t="s">
        <v>648</v>
      </c>
      <c r="L134" s="2" t="s">
        <v>6</v>
      </c>
      <c r="M134" s="7"/>
      <c r="N134" s="2"/>
      <c r="O134" s="2"/>
      <c r="P134" s="2"/>
    </row>
    <row r="135" spans="1:16" ht="60" customHeight="1" x14ac:dyDescent="0.25">
      <c r="A135" s="2"/>
      <c r="B135" s="2" t="s">
        <v>649</v>
      </c>
      <c r="C135" s="2" t="s">
        <v>650</v>
      </c>
      <c r="D135" s="2" t="s">
        <v>54</v>
      </c>
      <c r="E135" s="2" t="s">
        <v>642</v>
      </c>
      <c r="F135" s="2" t="s">
        <v>109</v>
      </c>
      <c r="G135" s="2" t="s">
        <v>98</v>
      </c>
      <c r="H135" s="2" t="s">
        <v>651</v>
      </c>
      <c r="I135" s="2" t="s">
        <v>137</v>
      </c>
      <c r="J135" s="2" t="s">
        <v>101</v>
      </c>
      <c r="K135" s="2" t="s">
        <v>652</v>
      </c>
      <c r="L135" s="2" t="s">
        <v>6</v>
      </c>
      <c r="M135" s="7"/>
      <c r="N135" s="2"/>
      <c r="O135" s="2"/>
      <c r="P135" s="2"/>
    </row>
    <row r="136" spans="1:16" ht="60" customHeight="1" x14ac:dyDescent="0.25">
      <c r="A136" s="2"/>
      <c r="B136" s="2" t="s">
        <v>653</v>
      </c>
      <c r="C136" s="2" t="s">
        <v>654</v>
      </c>
      <c r="D136" s="2" t="s">
        <v>54</v>
      </c>
      <c r="E136" s="2" t="s">
        <v>642</v>
      </c>
      <c r="F136" s="2" t="s">
        <v>109</v>
      </c>
      <c r="G136" s="2" t="s">
        <v>98</v>
      </c>
      <c r="H136" s="2" t="s">
        <v>655</v>
      </c>
      <c r="I136" s="2" t="s">
        <v>137</v>
      </c>
      <c r="J136" s="2" t="s">
        <v>101</v>
      </c>
      <c r="K136" s="2" t="s">
        <v>656</v>
      </c>
      <c r="L136" s="2" t="s">
        <v>6</v>
      </c>
      <c r="M136" s="7"/>
      <c r="N136" s="2"/>
      <c r="O136" s="2"/>
      <c r="P136" s="2"/>
    </row>
    <row r="137" spans="1:16" ht="60" customHeight="1" x14ac:dyDescent="0.25">
      <c r="A137" s="2"/>
      <c r="B137" s="2" t="s">
        <v>657</v>
      </c>
      <c r="C137" s="2" t="s">
        <v>658</v>
      </c>
      <c r="D137" s="2" t="s">
        <v>54</v>
      </c>
      <c r="E137" s="2" t="s">
        <v>642</v>
      </c>
      <c r="F137" s="2" t="s">
        <v>109</v>
      </c>
      <c r="G137" s="2" t="s">
        <v>98</v>
      </c>
      <c r="H137" s="2" t="s">
        <v>659</v>
      </c>
      <c r="I137" s="2" t="s">
        <v>137</v>
      </c>
      <c r="J137" s="2" t="s">
        <v>101</v>
      </c>
      <c r="K137" s="2" t="s">
        <v>660</v>
      </c>
      <c r="L137" s="2" t="s">
        <v>6</v>
      </c>
      <c r="M137" s="7"/>
      <c r="N137" s="2"/>
      <c r="O137" s="2"/>
      <c r="P137" s="2"/>
    </row>
    <row r="138" spans="1:16" ht="60" customHeight="1" x14ac:dyDescent="0.25">
      <c r="A138" s="2"/>
      <c r="B138" s="2" t="s">
        <v>661</v>
      </c>
      <c r="C138" s="2" t="s">
        <v>662</v>
      </c>
      <c r="D138" s="2" t="s">
        <v>54</v>
      </c>
      <c r="E138" s="2" t="s">
        <v>642</v>
      </c>
      <c r="F138" s="2" t="s">
        <v>109</v>
      </c>
      <c r="G138" s="2" t="s">
        <v>98</v>
      </c>
      <c r="H138" s="2" t="s">
        <v>663</v>
      </c>
      <c r="I138" s="2" t="s">
        <v>137</v>
      </c>
      <c r="J138" s="2" t="s">
        <v>101</v>
      </c>
      <c r="K138" s="2" t="s">
        <v>664</v>
      </c>
      <c r="L138" s="2" t="s">
        <v>6</v>
      </c>
      <c r="M138" s="7"/>
      <c r="N138" s="2"/>
      <c r="O138" s="2"/>
      <c r="P138" s="2"/>
    </row>
    <row r="139" spans="1:16" ht="60" customHeight="1" x14ac:dyDescent="0.25">
      <c r="A139" s="2"/>
      <c r="B139" s="2" t="s">
        <v>665</v>
      </c>
      <c r="C139" s="2" t="s">
        <v>666</v>
      </c>
      <c r="D139" s="2" t="s">
        <v>54</v>
      </c>
      <c r="E139" s="2" t="s">
        <v>642</v>
      </c>
      <c r="F139" s="2" t="s">
        <v>109</v>
      </c>
      <c r="G139" s="2" t="s">
        <v>98</v>
      </c>
      <c r="H139" s="2" t="s">
        <v>667</v>
      </c>
      <c r="I139" s="2" t="s">
        <v>137</v>
      </c>
      <c r="J139" s="2" t="s">
        <v>101</v>
      </c>
      <c r="K139" s="2" t="s">
        <v>668</v>
      </c>
      <c r="L139" s="2" t="s">
        <v>6</v>
      </c>
      <c r="M139" s="7"/>
      <c r="N139" s="2"/>
      <c r="O139" s="2"/>
      <c r="P139" s="2"/>
    </row>
    <row r="140" spans="1:16" ht="60" customHeight="1" x14ac:dyDescent="0.25">
      <c r="A140" s="2"/>
      <c r="B140" s="2" t="s">
        <v>669</v>
      </c>
      <c r="C140" s="2" t="s">
        <v>670</v>
      </c>
      <c r="D140" s="2" t="s">
        <v>54</v>
      </c>
      <c r="E140" s="2" t="s">
        <v>642</v>
      </c>
      <c r="F140" s="2" t="s">
        <v>109</v>
      </c>
      <c r="G140" s="2" t="s">
        <v>98</v>
      </c>
      <c r="H140" s="2" t="s">
        <v>671</v>
      </c>
      <c r="I140" s="2" t="s">
        <v>137</v>
      </c>
      <c r="J140" s="2" t="s">
        <v>101</v>
      </c>
      <c r="K140" s="2" t="s">
        <v>672</v>
      </c>
      <c r="L140" s="2" t="s">
        <v>6</v>
      </c>
      <c r="M140" s="7"/>
      <c r="N140" s="2"/>
      <c r="O140" s="2"/>
      <c r="P140" s="2"/>
    </row>
    <row r="141" spans="1:16" ht="60" customHeight="1" x14ac:dyDescent="0.25">
      <c r="A141" s="2"/>
      <c r="B141" s="2" t="s">
        <v>673</v>
      </c>
      <c r="C141" s="2" t="s">
        <v>674</v>
      </c>
      <c r="D141" s="2" t="s">
        <v>54</v>
      </c>
      <c r="E141" s="2" t="s">
        <v>642</v>
      </c>
      <c r="F141" s="2" t="s">
        <v>109</v>
      </c>
      <c r="G141" s="2" t="s">
        <v>98</v>
      </c>
      <c r="H141" s="2" t="s">
        <v>675</v>
      </c>
      <c r="I141" s="2" t="s">
        <v>137</v>
      </c>
      <c r="J141" s="2" t="s">
        <v>101</v>
      </c>
      <c r="K141" s="2" t="s">
        <v>676</v>
      </c>
      <c r="L141" s="2" t="s">
        <v>6</v>
      </c>
      <c r="M141" s="7"/>
      <c r="N141" s="2"/>
      <c r="O141" s="2"/>
      <c r="P141" s="2"/>
    </row>
    <row r="142" spans="1:16" ht="60" customHeight="1" x14ac:dyDescent="0.25">
      <c r="A142" s="2"/>
      <c r="B142" s="2" t="s">
        <v>677</v>
      </c>
      <c r="C142" s="2" t="s">
        <v>678</v>
      </c>
      <c r="D142" s="2" t="s">
        <v>54</v>
      </c>
      <c r="E142" s="2" t="s">
        <v>642</v>
      </c>
      <c r="F142" s="2" t="s">
        <v>109</v>
      </c>
      <c r="G142" s="2" t="s">
        <v>98</v>
      </c>
      <c r="H142" s="2" t="s">
        <v>679</v>
      </c>
      <c r="I142" s="2" t="s">
        <v>137</v>
      </c>
      <c r="J142" s="2" t="s">
        <v>101</v>
      </c>
      <c r="K142" s="2" t="s">
        <v>680</v>
      </c>
      <c r="L142" s="2" t="s">
        <v>6</v>
      </c>
      <c r="M142" s="7"/>
      <c r="N142" s="2"/>
      <c r="O142" s="2"/>
      <c r="P142" s="2"/>
    </row>
    <row r="143" spans="1:16" ht="60" customHeight="1" x14ac:dyDescent="0.25">
      <c r="A143" s="2"/>
      <c r="B143" s="2" t="s">
        <v>681</v>
      </c>
      <c r="C143" s="2" t="s">
        <v>682</v>
      </c>
      <c r="D143" s="2" t="s">
        <v>54</v>
      </c>
      <c r="E143" s="2" t="s">
        <v>642</v>
      </c>
      <c r="F143" s="2" t="s">
        <v>109</v>
      </c>
      <c r="G143" s="2" t="s">
        <v>98</v>
      </c>
      <c r="H143" s="2" t="s">
        <v>683</v>
      </c>
      <c r="I143" s="2" t="s">
        <v>137</v>
      </c>
      <c r="J143" s="2" t="s">
        <v>101</v>
      </c>
      <c r="K143" s="2" t="s">
        <v>684</v>
      </c>
      <c r="L143" s="2" t="s">
        <v>6</v>
      </c>
      <c r="M143" s="7"/>
      <c r="N143" s="2"/>
      <c r="O143" s="2"/>
      <c r="P143" s="2"/>
    </row>
    <row r="144" spans="1:16" ht="60" customHeight="1" x14ac:dyDescent="0.25">
      <c r="A144" s="2"/>
      <c r="B144" s="2" t="s">
        <v>685</v>
      </c>
      <c r="C144" s="2" t="s">
        <v>686</v>
      </c>
      <c r="D144" s="2" t="s">
        <v>54</v>
      </c>
      <c r="E144" s="2" t="s">
        <v>642</v>
      </c>
      <c r="F144" s="2" t="s">
        <v>302</v>
      </c>
      <c r="G144" s="2" t="s">
        <v>98</v>
      </c>
      <c r="H144" s="2" t="s">
        <v>687</v>
      </c>
      <c r="I144" s="2" t="s">
        <v>137</v>
      </c>
      <c r="J144" s="2" t="s">
        <v>101</v>
      </c>
      <c r="K144" s="2" t="s">
        <v>688</v>
      </c>
      <c r="L144" s="2" t="s">
        <v>6</v>
      </c>
      <c r="M144" s="7"/>
      <c r="N144" s="2"/>
      <c r="O144" s="2"/>
      <c r="P144" s="2"/>
    </row>
    <row r="145" spans="1:16" ht="60" customHeight="1" x14ac:dyDescent="0.25">
      <c r="A145" s="2"/>
      <c r="B145" s="2" t="s">
        <v>689</v>
      </c>
      <c r="C145" s="2" t="s">
        <v>690</v>
      </c>
      <c r="D145" s="2" t="s">
        <v>54</v>
      </c>
      <c r="E145" s="2" t="s">
        <v>642</v>
      </c>
      <c r="F145" s="2" t="s">
        <v>109</v>
      </c>
      <c r="G145" s="2" t="s">
        <v>98</v>
      </c>
      <c r="H145" s="2" t="s">
        <v>691</v>
      </c>
      <c r="I145" s="2" t="s">
        <v>137</v>
      </c>
      <c r="J145" s="2" t="s">
        <v>101</v>
      </c>
      <c r="K145" s="2" t="s">
        <v>692</v>
      </c>
      <c r="L145" s="2" t="s">
        <v>6</v>
      </c>
      <c r="M145" s="7"/>
      <c r="N145" s="2"/>
      <c r="O145" s="2"/>
      <c r="P145" s="2"/>
    </row>
    <row r="146" spans="1:16" ht="60" customHeight="1" x14ac:dyDescent="0.25">
      <c r="A146" s="2"/>
      <c r="B146" s="2" t="s">
        <v>693</v>
      </c>
      <c r="C146" s="2" t="s">
        <v>694</v>
      </c>
      <c r="D146" s="2" t="s">
        <v>54</v>
      </c>
      <c r="E146" s="2" t="s">
        <v>642</v>
      </c>
      <c r="F146" s="2" t="s">
        <v>97</v>
      </c>
      <c r="G146" s="2" t="s">
        <v>98</v>
      </c>
      <c r="H146" s="2" t="s">
        <v>695</v>
      </c>
      <c r="I146" s="2" t="s">
        <v>137</v>
      </c>
      <c r="J146" s="2" t="s">
        <v>101</v>
      </c>
      <c r="K146" s="2" t="s">
        <v>696</v>
      </c>
      <c r="L146" s="2" t="s">
        <v>6</v>
      </c>
      <c r="M146" s="7"/>
      <c r="N146" s="2"/>
      <c r="O146" s="2"/>
      <c r="P146" s="2"/>
    </row>
    <row r="147" spans="1:16" ht="60" customHeight="1" x14ac:dyDescent="0.25">
      <c r="A147" s="2"/>
      <c r="B147" s="2" t="s">
        <v>697</v>
      </c>
      <c r="C147" s="2" t="s">
        <v>698</v>
      </c>
      <c r="D147" s="2" t="s">
        <v>54</v>
      </c>
      <c r="E147" s="2" t="s">
        <v>642</v>
      </c>
      <c r="F147" s="2" t="s">
        <v>109</v>
      </c>
      <c r="G147" s="2" t="s">
        <v>98</v>
      </c>
      <c r="H147" s="2" t="s">
        <v>699</v>
      </c>
      <c r="I147" s="2" t="s">
        <v>137</v>
      </c>
      <c r="J147" s="2" t="s">
        <v>101</v>
      </c>
      <c r="K147" s="2" t="s">
        <v>700</v>
      </c>
      <c r="L147" s="2" t="s">
        <v>6</v>
      </c>
      <c r="M147" s="7"/>
      <c r="N147" s="2"/>
      <c r="O147" s="2"/>
      <c r="P147" s="2"/>
    </row>
    <row r="148" spans="1:16" ht="60" customHeight="1" x14ac:dyDescent="0.25">
      <c r="A148" s="2"/>
      <c r="B148" s="2" t="s">
        <v>701</v>
      </c>
      <c r="C148" s="2" t="s">
        <v>702</v>
      </c>
      <c r="D148" s="2" t="s">
        <v>54</v>
      </c>
      <c r="E148" s="2" t="s">
        <v>642</v>
      </c>
      <c r="F148" s="2" t="s">
        <v>109</v>
      </c>
      <c r="G148" s="2" t="s">
        <v>98</v>
      </c>
      <c r="H148" s="2" t="s">
        <v>703</v>
      </c>
      <c r="I148" s="2" t="s">
        <v>137</v>
      </c>
      <c r="J148" s="2" t="s">
        <v>704</v>
      </c>
      <c r="K148" s="2" t="s">
        <v>705</v>
      </c>
      <c r="L148" s="2" t="s">
        <v>6</v>
      </c>
      <c r="M148" s="7"/>
      <c r="N148" s="2"/>
      <c r="O148" s="2"/>
      <c r="P148" s="2"/>
    </row>
    <row r="149" spans="1:16" ht="60" customHeight="1" x14ac:dyDescent="0.25">
      <c r="A149" s="2"/>
      <c r="B149" s="2" t="s">
        <v>706</v>
      </c>
      <c r="C149" s="2" t="s">
        <v>707</v>
      </c>
      <c r="D149" s="2" t="s">
        <v>54</v>
      </c>
      <c r="E149" s="2" t="s">
        <v>642</v>
      </c>
      <c r="F149" s="2" t="s">
        <v>97</v>
      </c>
      <c r="G149" s="2" t="s">
        <v>98</v>
      </c>
      <c r="H149" s="2" t="s">
        <v>708</v>
      </c>
      <c r="I149" s="2" t="s">
        <v>137</v>
      </c>
      <c r="J149" s="2" t="s">
        <v>101</v>
      </c>
      <c r="K149" s="2" t="s">
        <v>709</v>
      </c>
      <c r="L149" s="2" t="s">
        <v>6</v>
      </c>
      <c r="M149" s="7"/>
      <c r="N149" s="2"/>
      <c r="O149" s="2"/>
      <c r="P149" s="2"/>
    </row>
    <row r="150" spans="1:16" ht="60" customHeight="1" x14ac:dyDescent="0.25">
      <c r="A150" s="2"/>
      <c r="B150" s="2" t="s">
        <v>710</v>
      </c>
      <c r="C150" s="2" t="s">
        <v>711</v>
      </c>
      <c r="D150" s="2" t="s">
        <v>54</v>
      </c>
      <c r="E150" s="2" t="s">
        <v>642</v>
      </c>
      <c r="F150" s="2" t="s">
        <v>373</v>
      </c>
      <c r="G150" s="2" t="s">
        <v>98</v>
      </c>
      <c r="H150" s="2" t="s">
        <v>712</v>
      </c>
      <c r="I150" s="2" t="s">
        <v>137</v>
      </c>
      <c r="J150" s="2" t="s">
        <v>101</v>
      </c>
      <c r="K150" s="2" t="s">
        <v>713</v>
      </c>
      <c r="L150" s="2" t="s">
        <v>6</v>
      </c>
      <c r="M150" s="7"/>
      <c r="N150" s="2"/>
      <c r="O150" s="2"/>
      <c r="P150" s="2"/>
    </row>
    <row r="151" spans="1:16" ht="60" customHeight="1" x14ac:dyDescent="0.25">
      <c r="A151" s="2"/>
      <c r="B151" s="2" t="s">
        <v>714</v>
      </c>
      <c r="C151" s="2" t="s">
        <v>715</v>
      </c>
      <c r="D151" s="2" t="s">
        <v>54</v>
      </c>
      <c r="E151" s="2" t="s">
        <v>716</v>
      </c>
      <c r="F151" s="2" t="s">
        <v>109</v>
      </c>
      <c r="G151" s="2" t="s">
        <v>98</v>
      </c>
      <c r="H151" s="2" t="s">
        <v>717</v>
      </c>
      <c r="I151" s="2" t="s">
        <v>137</v>
      </c>
      <c r="J151" s="2" t="s">
        <v>101</v>
      </c>
      <c r="K151" s="2" t="s">
        <v>718</v>
      </c>
      <c r="L151" s="2" t="s">
        <v>6</v>
      </c>
      <c r="M151" s="7"/>
      <c r="N151" s="2"/>
      <c r="O151" s="2"/>
      <c r="P151" s="2"/>
    </row>
    <row r="152" spans="1:16" ht="60" customHeight="1" x14ac:dyDescent="0.25">
      <c r="A152" s="2"/>
      <c r="B152" s="2" t="s">
        <v>719</v>
      </c>
      <c r="C152" s="2" t="s">
        <v>720</v>
      </c>
      <c r="D152" s="2" t="s">
        <v>54</v>
      </c>
      <c r="E152" s="2" t="s">
        <v>716</v>
      </c>
      <c r="F152" s="2" t="s">
        <v>109</v>
      </c>
      <c r="G152" s="2" t="s">
        <v>98</v>
      </c>
      <c r="H152" s="2" t="s">
        <v>721</v>
      </c>
      <c r="I152" s="2" t="s">
        <v>137</v>
      </c>
      <c r="J152" s="2" t="s">
        <v>101</v>
      </c>
      <c r="K152" s="2" t="s">
        <v>722</v>
      </c>
      <c r="L152" s="2" t="s">
        <v>6</v>
      </c>
      <c r="M152" s="7"/>
      <c r="N152" s="2"/>
      <c r="O152" s="2"/>
      <c r="P152" s="2"/>
    </row>
    <row r="153" spans="1:16" ht="60" customHeight="1" x14ac:dyDescent="0.25">
      <c r="A153" s="2"/>
      <c r="B153" s="2" t="s">
        <v>723</v>
      </c>
      <c r="C153" s="2" t="s">
        <v>724</v>
      </c>
      <c r="D153" s="2" t="s">
        <v>54</v>
      </c>
      <c r="E153" s="2" t="s">
        <v>716</v>
      </c>
      <c r="F153" s="2" t="s">
        <v>109</v>
      </c>
      <c r="G153" s="2" t="s">
        <v>98</v>
      </c>
      <c r="H153" s="2" t="s">
        <v>725</v>
      </c>
      <c r="I153" s="2" t="s">
        <v>137</v>
      </c>
      <c r="J153" s="2" t="s">
        <v>101</v>
      </c>
      <c r="K153" s="2" t="s">
        <v>726</v>
      </c>
      <c r="L153" s="2" t="s">
        <v>6</v>
      </c>
      <c r="M153" s="7"/>
      <c r="N153" s="2"/>
      <c r="O153" s="2"/>
      <c r="P153" s="2"/>
    </row>
    <row r="154" spans="1:16" ht="60" customHeight="1" x14ac:dyDescent="0.25">
      <c r="A154" s="2"/>
      <c r="B154" s="2" t="s">
        <v>727</v>
      </c>
      <c r="C154" s="2" t="s">
        <v>728</v>
      </c>
      <c r="D154" s="2" t="s">
        <v>54</v>
      </c>
      <c r="E154" s="2" t="s">
        <v>716</v>
      </c>
      <c r="F154" s="2" t="s">
        <v>109</v>
      </c>
      <c r="G154" s="2" t="s">
        <v>98</v>
      </c>
      <c r="H154" s="2" t="s">
        <v>729</v>
      </c>
      <c r="I154" s="2" t="s">
        <v>137</v>
      </c>
      <c r="J154" s="2" t="s">
        <v>101</v>
      </c>
      <c r="K154" s="2" t="s">
        <v>730</v>
      </c>
      <c r="L154" s="2" t="s">
        <v>6</v>
      </c>
      <c r="M154" s="7"/>
      <c r="N154" s="2"/>
      <c r="O154" s="2"/>
      <c r="P154" s="2"/>
    </row>
    <row r="155" spans="1:16" ht="60" customHeight="1" x14ac:dyDescent="0.25">
      <c r="A155" s="2"/>
      <c r="B155" s="2" t="s">
        <v>731</v>
      </c>
      <c r="C155" s="2" t="s">
        <v>732</v>
      </c>
      <c r="D155" s="2" t="s">
        <v>54</v>
      </c>
      <c r="E155" s="2" t="s">
        <v>716</v>
      </c>
      <c r="F155" s="2" t="s">
        <v>109</v>
      </c>
      <c r="G155" s="2" t="s">
        <v>98</v>
      </c>
      <c r="H155" s="2" t="s">
        <v>733</v>
      </c>
      <c r="I155" s="2" t="s">
        <v>137</v>
      </c>
      <c r="J155" s="2" t="s">
        <v>101</v>
      </c>
      <c r="K155" s="2" t="s">
        <v>734</v>
      </c>
      <c r="L155" s="2" t="s">
        <v>6</v>
      </c>
      <c r="M155" s="7"/>
      <c r="N155" s="2"/>
      <c r="O155" s="2"/>
      <c r="P155" s="2"/>
    </row>
    <row r="156" spans="1:16" ht="60" customHeight="1" x14ac:dyDescent="0.25">
      <c r="A156" s="2"/>
      <c r="B156" s="2" t="s">
        <v>735</v>
      </c>
      <c r="C156" s="2" t="s">
        <v>736</v>
      </c>
      <c r="D156" s="2" t="s">
        <v>54</v>
      </c>
      <c r="E156" s="2" t="s">
        <v>716</v>
      </c>
      <c r="F156" s="2" t="s">
        <v>109</v>
      </c>
      <c r="G156" s="2" t="s">
        <v>98</v>
      </c>
      <c r="H156" s="2" t="s">
        <v>737</v>
      </c>
      <c r="I156" s="2" t="s">
        <v>137</v>
      </c>
      <c r="J156" s="2" t="s">
        <v>738</v>
      </c>
      <c r="K156" s="2" t="s">
        <v>739</v>
      </c>
      <c r="L156" s="2" t="s">
        <v>6</v>
      </c>
      <c r="M156" s="7"/>
      <c r="N156" s="2"/>
      <c r="O156" s="2"/>
      <c r="P156" s="2"/>
    </row>
    <row r="157" spans="1:16" ht="60" customHeight="1" x14ac:dyDescent="0.25">
      <c r="A157" s="2"/>
      <c r="B157" s="2" t="s">
        <v>740</v>
      </c>
      <c r="C157" s="2" t="s">
        <v>741</v>
      </c>
      <c r="D157" s="2" t="s">
        <v>54</v>
      </c>
      <c r="E157" s="2" t="s">
        <v>716</v>
      </c>
      <c r="F157" s="2" t="s">
        <v>109</v>
      </c>
      <c r="G157" s="2" t="s">
        <v>98</v>
      </c>
      <c r="H157" s="2" t="s">
        <v>742</v>
      </c>
      <c r="I157" s="2" t="s">
        <v>137</v>
      </c>
      <c r="J157" s="2" t="s">
        <v>101</v>
      </c>
      <c r="K157" s="2" t="s">
        <v>743</v>
      </c>
      <c r="L157" s="2" t="s">
        <v>6</v>
      </c>
      <c r="M157" s="7"/>
      <c r="N157" s="2"/>
      <c r="O157" s="2"/>
      <c r="P157" s="2"/>
    </row>
    <row r="158" spans="1:16" ht="60" customHeight="1" x14ac:dyDescent="0.25">
      <c r="A158" s="2"/>
      <c r="B158" s="2" t="s">
        <v>744</v>
      </c>
      <c r="C158" s="2" t="s">
        <v>745</v>
      </c>
      <c r="D158" s="2" t="s">
        <v>54</v>
      </c>
      <c r="E158" s="2" t="s">
        <v>716</v>
      </c>
      <c r="F158" s="2" t="s">
        <v>109</v>
      </c>
      <c r="G158" s="2" t="s">
        <v>98</v>
      </c>
      <c r="H158" s="2" t="s">
        <v>746</v>
      </c>
      <c r="I158" s="2" t="s">
        <v>137</v>
      </c>
      <c r="J158" s="2" t="s">
        <v>747</v>
      </c>
      <c r="K158" s="2" t="s">
        <v>748</v>
      </c>
      <c r="L158" s="2" t="s">
        <v>6</v>
      </c>
      <c r="M158" s="7"/>
      <c r="N158" s="2"/>
      <c r="O158" s="2"/>
      <c r="P158" s="2"/>
    </row>
    <row r="159" spans="1:16" ht="60" customHeight="1" x14ac:dyDescent="0.25">
      <c r="A159" s="2"/>
      <c r="B159" s="2" t="s">
        <v>749</v>
      </c>
      <c r="C159" s="2" t="s">
        <v>750</v>
      </c>
      <c r="D159" s="2" t="s">
        <v>54</v>
      </c>
      <c r="E159" s="2" t="s">
        <v>716</v>
      </c>
      <c r="F159" s="2" t="s">
        <v>109</v>
      </c>
      <c r="G159" s="2" t="s">
        <v>98</v>
      </c>
      <c r="H159" s="2" t="s">
        <v>751</v>
      </c>
      <c r="I159" s="2" t="s">
        <v>137</v>
      </c>
      <c r="J159" s="2" t="s">
        <v>101</v>
      </c>
      <c r="K159" s="2" t="s">
        <v>752</v>
      </c>
      <c r="L159" s="2" t="s">
        <v>6</v>
      </c>
      <c r="M159" s="7"/>
      <c r="N159" s="2"/>
      <c r="O159" s="2"/>
      <c r="P159" s="2"/>
    </row>
    <row r="160" spans="1:16" ht="60" customHeight="1" x14ac:dyDescent="0.25">
      <c r="A160" s="2"/>
      <c r="B160" s="2" t="s">
        <v>753</v>
      </c>
      <c r="C160" s="2" t="s">
        <v>754</v>
      </c>
      <c r="D160" s="2" t="s">
        <v>54</v>
      </c>
      <c r="E160" s="2" t="s">
        <v>716</v>
      </c>
      <c r="F160" s="2" t="s">
        <v>109</v>
      </c>
      <c r="G160" s="2" t="s">
        <v>98</v>
      </c>
      <c r="H160" s="2" t="s">
        <v>755</v>
      </c>
      <c r="I160" s="2" t="s">
        <v>137</v>
      </c>
      <c r="J160" s="2" t="s">
        <v>101</v>
      </c>
      <c r="K160" s="2" t="s">
        <v>756</v>
      </c>
      <c r="L160" s="2" t="s">
        <v>6</v>
      </c>
      <c r="M160" s="7"/>
      <c r="N160" s="2"/>
      <c r="O160" s="2"/>
      <c r="P160" s="2"/>
    </row>
    <row r="161" spans="1:16" ht="60" customHeight="1" x14ac:dyDescent="0.25">
      <c r="A161" s="2"/>
      <c r="B161" s="2" t="s">
        <v>757</v>
      </c>
      <c r="C161" s="2" t="s">
        <v>758</v>
      </c>
      <c r="D161" s="2" t="s">
        <v>54</v>
      </c>
      <c r="E161" s="2" t="s">
        <v>716</v>
      </c>
      <c r="F161" s="2" t="s">
        <v>109</v>
      </c>
      <c r="G161" s="2" t="s">
        <v>98</v>
      </c>
      <c r="H161" s="2" t="s">
        <v>759</v>
      </c>
      <c r="I161" s="2" t="s">
        <v>137</v>
      </c>
      <c r="J161" s="2" t="s">
        <v>101</v>
      </c>
      <c r="K161" s="2" t="s">
        <v>760</v>
      </c>
      <c r="L161" s="2" t="s">
        <v>6</v>
      </c>
      <c r="M161" s="7"/>
      <c r="N161" s="2"/>
      <c r="O161" s="2"/>
      <c r="P161" s="2"/>
    </row>
    <row r="162" spans="1:16" ht="75" customHeight="1" x14ac:dyDescent="0.25">
      <c r="A162" s="2"/>
      <c r="B162" s="2" t="s">
        <v>761</v>
      </c>
      <c r="C162" s="2" t="s">
        <v>762</v>
      </c>
      <c r="D162" s="2" t="s">
        <v>54</v>
      </c>
      <c r="E162" s="2" t="s">
        <v>716</v>
      </c>
      <c r="F162" s="2" t="s">
        <v>109</v>
      </c>
      <c r="G162" s="2" t="s">
        <v>98</v>
      </c>
      <c r="H162" s="2" t="s">
        <v>763</v>
      </c>
      <c r="I162" s="2" t="s">
        <v>137</v>
      </c>
      <c r="J162" s="2" t="s">
        <v>101</v>
      </c>
      <c r="K162" s="2" t="s">
        <v>764</v>
      </c>
      <c r="L162" s="2" t="s">
        <v>6</v>
      </c>
      <c r="M162" s="7"/>
      <c r="N162" s="2"/>
      <c r="O162" s="2"/>
      <c r="P162" s="2"/>
    </row>
    <row r="163" spans="1:16" ht="45" customHeight="1" x14ac:dyDescent="0.25">
      <c r="A163" s="2" t="s">
        <v>1119</v>
      </c>
      <c r="B163" s="2" t="s">
        <v>765</v>
      </c>
      <c r="C163" s="2" t="s">
        <v>766</v>
      </c>
      <c r="D163" s="2" t="s">
        <v>48</v>
      </c>
      <c r="E163" s="2" t="s">
        <v>767</v>
      </c>
      <c r="F163" s="2" t="s">
        <v>768</v>
      </c>
      <c r="G163" s="2" t="s">
        <v>135</v>
      </c>
      <c r="H163" s="2" t="s">
        <v>769</v>
      </c>
      <c r="I163" s="2" t="s">
        <v>137</v>
      </c>
      <c r="J163" s="2" t="s">
        <v>138</v>
      </c>
      <c r="K163" s="2" t="s">
        <v>770</v>
      </c>
      <c r="L163" s="2" t="s">
        <v>10</v>
      </c>
      <c r="M163" s="7">
        <v>46323</v>
      </c>
      <c r="N163" s="2"/>
      <c r="O163" s="2" t="s">
        <v>1120</v>
      </c>
      <c r="P163" s="2" t="s">
        <v>1126</v>
      </c>
    </row>
    <row r="164" spans="1:16" ht="60" customHeight="1" x14ac:dyDescent="0.25">
      <c r="A164" s="2" t="s">
        <v>1119</v>
      </c>
      <c r="B164" s="2" t="s">
        <v>771</v>
      </c>
      <c r="C164" s="2" t="s">
        <v>766</v>
      </c>
      <c r="D164" s="2" t="s">
        <v>48</v>
      </c>
      <c r="E164" s="2" t="s">
        <v>767</v>
      </c>
      <c r="F164" s="2" t="s">
        <v>768</v>
      </c>
      <c r="G164" s="2" t="s">
        <v>141</v>
      </c>
      <c r="H164" s="2" t="s">
        <v>769</v>
      </c>
      <c r="I164" s="2" t="s">
        <v>137</v>
      </c>
      <c r="J164" s="2" t="s">
        <v>142</v>
      </c>
      <c r="K164" s="2" t="s">
        <v>770</v>
      </c>
      <c r="L164" s="2" t="s">
        <v>10</v>
      </c>
      <c r="M164" s="7">
        <v>46323</v>
      </c>
      <c r="N164" s="2"/>
      <c r="O164" s="2" t="s">
        <v>1120</v>
      </c>
      <c r="P164" s="2" t="s">
        <v>1127</v>
      </c>
    </row>
    <row r="165" spans="1:16" ht="45" customHeight="1" x14ac:dyDescent="0.25">
      <c r="A165" s="2"/>
      <c r="B165" s="2" t="s">
        <v>772</v>
      </c>
      <c r="C165" s="2" t="s">
        <v>773</v>
      </c>
      <c r="D165" s="2" t="s">
        <v>50</v>
      </c>
      <c r="E165" s="2" t="s">
        <v>767</v>
      </c>
      <c r="F165" s="2" t="s">
        <v>768</v>
      </c>
      <c r="G165" s="2" t="s">
        <v>135</v>
      </c>
      <c r="H165" s="2" t="s">
        <v>774</v>
      </c>
      <c r="I165" s="2" t="s">
        <v>137</v>
      </c>
      <c r="J165" s="2" t="s">
        <v>138</v>
      </c>
      <c r="K165" s="2" t="s">
        <v>775</v>
      </c>
      <c r="L165" s="2" t="s">
        <v>6</v>
      </c>
      <c r="M165" s="7"/>
      <c r="N165" s="2"/>
      <c r="O165" s="2"/>
      <c r="P165" s="2"/>
    </row>
    <row r="166" spans="1:16" ht="60" customHeight="1" x14ac:dyDescent="0.25">
      <c r="A166" s="2"/>
      <c r="B166" s="2" t="s">
        <v>776</v>
      </c>
      <c r="C166" s="2" t="s">
        <v>777</v>
      </c>
      <c r="D166" s="2" t="s">
        <v>50</v>
      </c>
      <c r="E166" s="2" t="s">
        <v>767</v>
      </c>
      <c r="F166" s="2" t="s">
        <v>768</v>
      </c>
      <c r="G166" s="2" t="s">
        <v>141</v>
      </c>
      <c r="H166" s="2" t="s">
        <v>778</v>
      </c>
      <c r="I166" s="2" t="s">
        <v>137</v>
      </c>
      <c r="J166" s="2" t="s">
        <v>142</v>
      </c>
      <c r="K166" s="2" t="s">
        <v>779</v>
      </c>
      <c r="L166" s="2" t="s">
        <v>6</v>
      </c>
      <c r="M166" s="7"/>
      <c r="N166" s="2"/>
      <c r="O166" s="2"/>
      <c r="P166" s="2"/>
    </row>
    <row r="167" spans="1:16" ht="105" customHeight="1" x14ac:dyDescent="0.25">
      <c r="A167" s="2"/>
      <c r="B167" s="2" t="s">
        <v>780</v>
      </c>
      <c r="C167" s="2" t="s">
        <v>781</v>
      </c>
      <c r="D167" s="2" t="s">
        <v>50</v>
      </c>
      <c r="E167" s="2" t="s">
        <v>782</v>
      </c>
      <c r="F167" s="2" t="s">
        <v>234</v>
      </c>
      <c r="G167" s="2" t="s">
        <v>98</v>
      </c>
      <c r="H167" s="2" t="s">
        <v>783</v>
      </c>
      <c r="I167" s="2" t="s">
        <v>100</v>
      </c>
      <c r="J167" s="2" t="s">
        <v>101</v>
      </c>
      <c r="K167" s="2" t="s">
        <v>784</v>
      </c>
      <c r="L167" s="2" t="s">
        <v>6</v>
      </c>
      <c r="M167" s="7"/>
      <c r="N167" s="2"/>
      <c r="O167" s="2"/>
      <c r="P167" s="2"/>
    </row>
    <row r="168" spans="1:16" ht="60" customHeight="1" x14ac:dyDescent="0.25">
      <c r="A168" s="2"/>
      <c r="B168" s="2" t="s">
        <v>785</v>
      </c>
      <c r="C168" s="2" t="s">
        <v>786</v>
      </c>
      <c r="D168" s="2" t="s">
        <v>50</v>
      </c>
      <c r="E168" s="2" t="s">
        <v>782</v>
      </c>
      <c r="F168" s="2" t="s">
        <v>234</v>
      </c>
      <c r="G168" s="2" t="s">
        <v>98</v>
      </c>
      <c r="H168" s="2" t="s">
        <v>787</v>
      </c>
      <c r="I168" s="2" t="s">
        <v>100</v>
      </c>
      <c r="J168" s="2" t="s">
        <v>101</v>
      </c>
      <c r="K168" s="2" t="s">
        <v>788</v>
      </c>
      <c r="L168" s="2" t="s">
        <v>6</v>
      </c>
      <c r="M168" s="7"/>
      <c r="N168" s="2"/>
      <c r="O168" s="2"/>
      <c r="P168" s="2"/>
    </row>
    <row r="169" spans="1:16" ht="60" customHeight="1" x14ac:dyDescent="0.25">
      <c r="A169" s="2"/>
      <c r="B169" s="2" t="s">
        <v>789</v>
      </c>
      <c r="C169" s="2" t="s">
        <v>790</v>
      </c>
      <c r="D169" s="2" t="s">
        <v>50</v>
      </c>
      <c r="E169" s="2" t="s">
        <v>782</v>
      </c>
      <c r="F169" s="2" t="s">
        <v>234</v>
      </c>
      <c r="G169" s="2" t="s">
        <v>98</v>
      </c>
      <c r="H169" s="2" t="s">
        <v>791</v>
      </c>
      <c r="I169" s="2" t="s">
        <v>100</v>
      </c>
      <c r="J169" s="2" t="s">
        <v>101</v>
      </c>
      <c r="K169" s="2" t="s">
        <v>792</v>
      </c>
      <c r="L169" s="2" t="s">
        <v>6</v>
      </c>
      <c r="M169" s="7"/>
      <c r="N169" s="2"/>
      <c r="O169" s="2"/>
      <c r="P169" s="2"/>
    </row>
    <row r="170" spans="1:16" ht="60" customHeight="1" x14ac:dyDescent="0.25">
      <c r="A170" s="2"/>
      <c r="B170" s="2" t="s">
        <v>793</v>
      </c>
      <c r="C170" s="2" t="s">
        <v>794</v>
      </c>
      <c r="D170" s="2" t="s">
        <v>50</v>
      </c>
      <c r="E170" s="2" t="s">
        <v>782</v>
      </c>
      <c r="F170" s="2" t="s">
        <v>234</v>
      </c>
      <c r="G170" s="2" t="s">
        <v>135</v>
      </c>
      <c r="H170" s="2" t="s">
        <v>795</v>
      </c>
      <c r="I170" s="2" t="s">
        <v>100</v>
      </c>
      <c r="J170" s="2" t="s">
        <v>138</v>
      </c>
      <c r="K170" s="2" t="s">
        <v>796</v>
      </c>
      <c r="L170" s="2" t="s">
        <v>6</v>
      </c>
      <c r="M170" s="7"/>
      <c r="N170" s="2"/>
      <c r="O170" s="2"/>
      <c r="P170" s="2"/>
    </row>
    <row r="171" spans="1:16" ht="60" customHeight="1" x14ac:dyDescent="0.25">
      <c r="A171" s="2"/>
      <c r="B171" s="2" t="s">
        <v>797</v>
      </c>
      <c r="C171" s="2" t="s">
        <v>794</v>
      </c>
      <c r="D171" s="2" t="s">
        <v>50</v>
      </c>
      <c r="E171" s="2" t="s">
        <v>782</v>
      </c>
      <c r="F171" s="2" t="s">
        <v>234</v>
      </c>
      <c r="G171" s="2" t="s">
        <v>141</v>
      </c>
      <c r="H171" s="2" t="s">
        <v>795</v>
      </c>
      <c r="I171" s="2" t="s">
        <v>100</v>
      </c>
      <c r="J171" s="2" t="s">
        <v>142</v>
      </c>
      <c r="K171" s="2" t="s">
        <v>796</v>
      </c>
      <c r="L171" s="2" t="s">
        <v>6</v>
      </c>
      <c r="M171" s="7"/>
      <c r="N171" s="2"/>
      <c r="O171" s="2"/>
      <c r="P171" s="2"/>
    </row>
    <row r="172" spans="1:16" ht="60" customHeight="1" x14ac:dyDescent="0.25">
      <c r="A172" s="2"/>
      <c r="B172" s="2" t="s">
        <v>798</v>
      </c>
      <c r="C172" s="2" t="s">
        <v>799</v>
      </c>
      <c r="D172" s="2" t="s">
        <v>50</v>
      </c>
      <c r="E172" s="2" t="s">
        <v>782</v>
      </c>
      <c r="F172" s="2" t="s">
        <v>234</v>
      </c>
      <c r="G172" s="2" t="s">
        <v>98</v>
      </c>
      <c r="H172" s="2" t="s">
        <v>800</v>
      </c>
      <c r="I172" s="2" t="s">
        <v>100</v>
      </c>
      <c r="J172" s="2" t="s">
        <v>101</v>
      </c>
      <c r="K172" s="2" t="s">
        <v>801</v>
      </c>
      <c r="L172" s="2" t="s">
        <v>6</v>
      </c>
      <c r="M172" s="7"/>
      <c r="N172" s="2"/>
      <c r="O172" s="2"/>
      <c r="P172" s="2"/>
    </row>
    <row r="173" spans="1:16" ht="75" customHeight="1" x14ac:dyDescent="0.25">
      <c r="A173" s="2"/>
      <c r="B173" s="2" t="s">
        <v>802</v>
      </c>
      <c r="C173" s="2" t="s">
        <v>803</v>
      </c>
      <c r="D173" s="2" t="s">
        <v>52</v>
      </c>
      <c r="E173" s="2" t="s">
        <v>782</v>
      </c>
      <c r="F173" s="2" t="s">
        <v>234</v>
      </c>
      <c r="G173" s="2" t="s">
        <v>98</v>
      </c>
      <c r="H173" s="2" t="s">
        <v>804</v>
      </c>
      <c r="I173" s="2" t="s">
        <v>100</v>
      </c>
      <c r="J173" s="2" t="s">
        <v>101</v>
      </c>
      <c r="K173" s="2" t="s">
        <v>805</v>
      </c>
      <c r="L173" s="2" t="s">
        <v>6</v>
      </c>
      <c r="M173" s="7"/>
      <c r="N173" s="2"/>
      <c r="O173" s="2"/>
      <c r="P173" s="2"/>
    </row>
    <row r="174" spans="1:16" ht="75" customHeight="1" x14ac:dyDescent="0.25">
      <c r="A174" s="2"/>
      <c r="B174" s="2" t="s">
        <v>806</v>
      </c>
      <c r="C174" s="2" t="s">
        <v>807</v>
      </c>
      <c r="D174" s="2" t="s">
        <v>50</v>
      </c>
      <c r="E174" s="2" t="s">
        <v>782</v>
      </c>
      <c r="F174" s="2" t="s">
        <v>234</v>
      </c>
      <c r="G174" s="2" t="s">
        <v>98</v>
      </c>
      <c r="H174" s="2" t="s">
        <v>808</v>
      </c>
      <c r="I174" s="2" t="s">
        <v>100</v>
      </c>
      <c r="J174" s="2" t="s">
        <v>101</v>
      </c>
      <c r="K174" s="2" t="s">
        <v>809</v>
      </c>
      <c r="L174" s="2" t="s">
        <v>6</v>
      </c>
      <c r="M174" s="7"/>
      <c r="N174" s="2"/>
      <c r="O174" s="2"/>
      <c r="P174" s="2"/>
    </row>
  </sheetData>
  <conditionalFormatting sqref="K2:K168">
    <cfRule type="expression" dxfId="63" priority="1">
      <formula>$K2="Pass"</formula>
    </cfRule>
    <cfRule type="expression" dxfId="62" priority="2">
      <formula>$K2="Fail"</formula>
    </cfRule>
    <cfRule type="expression" dxfId="61" priority="3">
      <formula>$K2="Blocked"</formula>
    </cfRule>
    <cfRule type="expression" dxfId="60" priority="4">
      <formula>$K2="Deferred"</formula>
    </cfRule>
    <cfRule type="expression" dxfId="59" priority="5">
      <formula>$K2="Ready to Test"</formula>
    </cfRule>
    <cfRule type="expression" dxfId="58" priority="6">
      <formula>$K2="Pass with Known Issue"</formula>
    </cfRule>
    <cfRule type="expression" dxfId="57" priority="7">
      <formula>$K2="Not Built"</formula>
    </cfRule>
    <cfRule type="expression" dxfId="56" priority="8">
      <formula>$K2="N/A"</formula>
    </cfRule>
  </conditionalFormatting>
  <conditionalFormatting sqref="L2:L500">
    <cfRule type="expression" dxfId="55" priority="9">
      <formula>$L2="Pass"</formula>
    </cfRule>
    <cfRule type="expression" dxfId="54" priority="10">
      <formula>$L2="Fail"</formula>
    </cfRule>
    <cfRule type="expression" dxfId="53" priority="11">
      <formula>$L2="Blocked"</formula>
    </cfRule>
    <cfRule type="expression" dxfId="52" priority="12">
      <formula>$L2="Deferred"</formula>
    </cfRule>
    <cfRule type="expression" dxfId="51" priority="13">
      <formula>$L2="Ready to Test"</formula>
    </cfRule>
    <cfRule type="expression" dxfId="50" priority="14">
      <formula>$L2="Pass with Known Issue"</formula>
    </cfRule>
    <cfRule type="expression" dxfId="49" priority="15">
      <formula>$L2="Not Built"</formula>
    </cfRule>
    <cfRule type="expression" dxfId="48" priority="16">
      <formula>$L2="N/A"</formula>
    </cfRule>
  </conditionalFormatting>
  <dataValidations count="1">
    <dataValidation type="list" allowBlank="1" sqref="L2:L500" xr:uid="{00000000-0002-0000-0200-000000000000}">
      <formula1>"Not Built,Ready to Test,Pass,Fail,Blocked,Deferred,N/A,Pass with Known Issue"</formula1>
    </dataValidation>
  </dataValidations>
  <pageMargins left="0.75" right="0.75" top="1" bottom="1" header="0.5" footer="0.5"/>
  <pageSetup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23"/>
  <sheetViews>
    <sheetView showGridLines="0" zoomScale="80" workbookViewId="0">
      <pane ySplit="1" topLeftCell="A2" activePane="bottomLeft" state="frozen"/>
      <selection pane="bottomLeft"/>
    </sheetView>
  </sheetViews>
  <sheetFormatPr defaultRowHeight="15" x14ac:dyDescent="0.25"/>
  <cols>
    <col min="1" max="1" width="16" customWidth="1"/>
    <col min="2" max="2" width="25" customWidth="1"/>
    <col min="3" max="3" width="20" customWidth="1"/>
    <col min="4" max="4" width="8" customWidth="1"/>
    <col min="5" max="5" width="25" customWidth="1"/>
    <col min="6" max="6" width="10" customWidth="1"/>
    <col min="7" max="7" width="11" customWidth="1"/>
    <col min="8" max="8" width="20" customWidth="1"/>
    <col min="9" max="9" width="24" customWidth="1"/>
    <col min="10" max="11" width="44" customWidth="1"/>
    <col min="12" max="12" width="68" customWidth="1"/>
    <col min="13" max="13" width="65" customWidth="1"/>
    <col min="14" max="14" width="20" customWidth="1"/>
    <col min="15" max="15" width="14" customWidth="1"/>
    <col min="16" max="16" width="18" customWidth="1"/>
    <col min="17" max="18" width="40" customWidth="1"/>
  </cols>
  <sheetData>
    <row r="1" spans="1:18" ht="33.950000000000003" customHeight="1" x14ac:dyDescent="0.25">
      <c r="A1" s="6" t="s">
        <v>79</v>
      </c>
      <c r="B1" s="6" t="s">
        <v>80</v>
      </c>
      <c r="C1" s="6" t="s">
        <v>81</v>
      </c>
      <c r="D1" s="6" t="s">
        <v>45</v>
      </c>
      <c r="E1" s="6" t="s">
        <v>82</v>
      </c>
      <c r="F1" s="6" t="s">
        <v>83</v>
      </c>
      <c r="G1" s="6" t="s">
        <v>84</v>
      </c>
      <c r="H1" s="6" t="s">
        <v>810</v>
      </c>
      <c r="I1" s="6" t="s">
        <v>811</v>
      </c>
      <c r="J1" s="6" t="s">
        <v>85</v>
      </c>
      <c r="K1" s="6" t="s">
        <v>86</v>
      </c>
      <c r="L1" s="6" t="s">
        <v>87</v>
      </c>
      <c r="M1" s="6" t="s">
        <v>88</v>
      </c>
      <c r="N1" s="6" t="s">
        <v>89</v>
      </c>
      <c r="O1" s="6" t="s">
        <v>90</v>
      </c>
      <c r="P1" s="6" t="s">
        <v>91</v>
      </c>
      <c r="Q1" s="6" t="s">
        <v>92</v>
      </c>
      <c r="R1" s="6" t="s">
        <v>93</v>
      </c>
    </row>
    <row r="2" spans="1:18" ht="60" customHeight="1" x14ac:dyDescent="0.25">
      <c r="A2" s="2" t="s">
        <v>1110</v>
      </c>
      <c r="B2" s="2" t="s">
        <v>812</v>
      </c>
      <c r="C2" s="2" t="s">
        <v>813</v>
      </c>
      <c r="D2" s="2" t="s">
        <v>48</v>
      </c>
      <c r="E2" s="2" t="s">
        <v>814</v>
      </c>
      <c r="F2" s="2" t="s">
        <v>815</v>
      </c>
      <c r="G2" s="2" t="s">
        <v>98</v>
      </c>
      <c r="H2" s="2" t="s">
        <v>816</v>
      </c>
      <c r="I2" s="2" t="s">
        <v>817</v>
      </c>
      <c r="J2" s="2" t="s">
        <v>818</v>
      </c>
      <c r="K2" s="2" t="s">
        <v>819</v>
      </c>
      <c r="L2" s="2" t="s">
        <v>820</v>
      </c>
      <c r="M2" s="2" t="s">
        <v>821</v>
      </c>
      <c r="N2" s="2" t="s">
        <v>10</v>
      </c>
      <c r="O2" s="7">
        <v>46323</v>
      </c>
      <c r="P2" s="2"/>
      <c r="Q2" s="2" t="s">
        <v>1118</v>
      </c>
      <c r="R2" s="2" t="s">
        <v>1112</v>
      </c>
    </row>
    <row r="3" spans="1:18" ht="90" customHeight="1" x14ac:dyDescent="0.25">
      <c r="A3" s="2"/>
      <c r="B3" s="2" t="s">
        <v>822</v>
      </c>
      <c r="C3" s="2" t="s">
        <v>823</v>
      </c>
      <c r="D3" s="2" t="s">
        <v>48</v>
      </c>
      <c r="E3" s="2" t="s">
        <v>814</v>
      </c>
      <c r="F3" s="2" t="s">
        <v>815</v>
      </c>
      <c r="G3" s="2" t="s">
        <v>98</v>
      </c>
      <c r="H3" s="2" t="s">
        <v>816</v>
      </c>
      <c r="I3" s="2" t="s">
        <v>817</v>
      </c>
      <c r="J3" s="2" t="s">
        <v>824</v>
      </c>
      <c r="K3" s="2" t="s">
        <v>819</v>
      </c>
      <c r="L3" s="2" t="s">
        <v>825</v>
      </c>
      <c r="M3" s="2" t="s">
        <v>826</v>
      </c>
      <c r="N3" s="2" t="s">
        <v>6</v>
      </c>
      <c r="O3" s="7"/>
      <c r="P3" s="2"/>
      <c r="Q3" s="2"/>
      <c r="R3" s="2"/>
    </row>
    <row r="4" spans="1:18" ht="60" customHeight="1" x14ac:dyDescent="0.25">
      <c r="A4" s="2" t="s">
        <v>1132</v>
      </c>
      <c r="B4" s="2" t="s">
        <v>827</v>
      </c>
      <c r="C4" s="2" t="s">
        <v>828</v>
      </c>
      <c r="D4" s="2" t="s">
        <v>48</v>
      </c>
      <c r="E4" s="2" t="s">
        <v>814</v>
      </c>
      <c r="F4" s="2" t="s">
        <v>815</v>
      </c>
      <c r="G4" s="2" t="s">
        <v>98</v>
      </c>
      <c r="H4" s="2" t="s">
        <v>816</v>
      </c>
      <c r="I4" s="2" t="s">
        <v>829</v>
      </c>
      <c r="J4" s="2" t="s">
        <v>830</v>
      </c>
      <c r="K4" s="2" t="s">
        <v>819</v>
      </c>
      <c r="L4" s="2" t="s">
        <v>820</v>
      </c>
      <c r="M4" s="2" t="s">
        <v>831</v>
      </c>
      <c r="N4" s="2" t="s">
        <v>10</v>
      </c>
      <c r="O4" s="7" t="s">
        <v>1130</v>
      </c>
      <c r="P4" s="2"/>
      <c r="Q4" s="2" t="s">
        <v>1135</v>
      </c>
      <c r="R4" s="2" t="s">
        <v>1152</v>
      </c>
    </row>
    <row r="5" spans="1:18" ht="90" customHeight="1" x14ac:dyDescent="0.25">
      <c r="A5" s="2"/>
      <c r="B5" s="2" t="s">
        <v>832</v>
      </c>
      <c r="C5" s="2" t="s">
        <v>833</v>
      </c>
      <c r="D5" s="2" t="s">
        <v>48</v>
      </c>
      <c r="E5" s="2" t="s">
        <v>814</v>
      </c>
      <c r="F5" s="2" t="s">
        <v>815</v>
      </c>
      <c r="G5" s="2" t="s">
        <v>98</v>
      </c>
      <c r="H5" s="2" t="s">
        <v>816</v>
      </c>
      <c r="I5" s="2" t="s">
        <v>817</v>
      </c>
      <c r="J5" s="2" t="s">
        <v>834</v>
      </c>
      <c r="K5" s="2" t="s">
        <v>819</v>
      </c>
      <c r="L5" s="2" t="s">
        <v>825</v>
      </c>
      <c r="M5" s="2" t="s">
        <v>835</v>
      </c>
      <c r="N5" s="2" t="s">
        <v>6</v>
      </c>
      <c r="O5" s="7"/>
      <c r="P5" s="2"/>
      <c r="Q5" s="2"/>
      <c r="R5" s="2"/>
    </row>
    <row r="6" spans="1:18" ht="90" customHeight="1" x14ac:dyDescent="0.25">
      <c r="A6" s="2"/>
      <c r="B6" s="2" t="s">
        <v>836</v>
      </c>
      <c r="C6" s="2" t="s">
        <v>837</v>
      </c>
      <c r="D6" s="2" t="s">
        <v>48</v>
      </c>
      <c r="E6" s="2" t="s">
        <v>814</v>
      </c>
      <c r="F6" s="2" t="s">
        <v>815</v>
      </c>
      <c r="G6" s="2" t="s">
        <v>98</v>
      </c>
      <c r="H6" s="2" t="s">
        <v>816</v>
      </c>
      <c r="I6" s="2" t="s">
        <v>817</v>
      </c>
      <c r="J6" s="2" t="s">
        <v>838</v>
      </c>
      <c r="K6" s="2" t="s">
        <v>819</v>
      </c>
      <c r="L6" s="2" t="s">
        <v>825</v>
      </c>
      <c r="M6" s="2" t="s">
        <v>839</v>
      </c>
      <c r="N6" s="2" t="s">
        <v>6</v>
      </c>
      <c r="O6" s="7"/>
      <c r="P6" s="2"/>
      <c r="Q6" s="2"/>
      <c r="R6" s="2"/>
    </row>
    <row r="7" spans="1:18" ht="60" customHeight="1" x14ac:dyDescent="0.25">
      <c r="A7" s="2" t="s">
        <v>1110</v>
      </c>
      <c r="B7" s="2" t="s">
        <v>840</v>
      </c>
      <c r="C7" s="2" t="s">
        <v>841</v>
      </c>
      <c r="D7" s="2" t="s">
        <v>48</v>
      </c>
      <c r="E7" s="2" t="s">
        <v>814</v>
      </c>
      <c r="F7" s="2" t="s">
        <v>815</v>
      </c>
      <c r="G7" s="2" t="s">
        <v>98</v>
      </c>
      <c r="H7" s="2" t="s">
        <v>816</v>
      </c>
      <c r="I7" s="2" t="s">
        <v>842</v>
      </c>
      <c r="J7" s="2" t="s">
        <v>843</v>
      </c>
      <c r="K7" s="2" t="s">
        <v>819</v>
      </c>
      <c r="L7" s="2" t="s">
        <v>820</v>
      </c>
      <c r="M7" s="2" t="s">
        <v>844</v>
      </c>
      <c r="N7" s="2" t="s">
        <v>10</v>
      </c>
      <c r="O7" s="7">
        <v>46323</v>
      </c>
      <c r="P7" s="2"/>
      <c r="Q7" s="2" t="s">
        <v>1118</v>
      </c>
      <c r="R7" s="2" t="s">
        <v>1113</v>
      </c>
    </row>
    <row r="8" spans="1:18" ht="90" customHeight="1" x14ac:dyDescent="0.25">
      <c r="A8" s="2" t="s">
        <v>1110</v>
      </c>
      <c r="B8" s="2" t="s">
        <v>845</v>
      </c>
      <c r="C8" s="2" t="s">
        <v>846</v>
      </c>
      <c r="D8" s="2" t="s">
        <v>48</v>
      </c>
      <c r="E8" s="2" t="s">
        <v>814</v>
      </c>
      <c r="F8" s="2" t="s">
        <v>815</v>
      </c>
      <c r="G8" s="2" t="s">
        <v>98</v>
      </c>
      <c r="H8" s="2" t="s">
        <v>816</v>
      </c>
      <c r="I8" s="2" t="s">
        <v>817</v>
      </c>
      <c r="J8" s="2" t="s">
        <v>847</v>
      </c>
      <c r="K8" s="2" t="s">
        <v>819</v>
      </c>
      <c r="L8" s="2" t="s">
        <v>820</v>
      </c>
      <c r="M8" s="2" t="s">
        <v>848</v>
      </c>
      <c r="N8" s="2" t="s">
        <v>10</v>
      </c>
      <c r="O8" s="7">
        <v>46323</v>
      </c>
      <c r="P8" s="2"/>
      <c r="Q8" s="2" t="s">
        <v>1118</v>
      </c>
      <c r="R8" s="2" t="s">
        <v>1114</v>
      </c>
    </row>
    <row r="9" spans="1:18" ht="75" customHeight="1" x14ac:dyDescent="0.25">
      <c r="A9" s="2" t="s">
        <v>1110</v>
      </c>
      <c r="B9" s="2" t="s">
        <v>849</v>
      </c>
      <c r="C9" s="2" t="s">
        <v>850</v>
      </c>
      <c r="D9" s="2" t="s">
        <v>48</v>
      </c>
      <c r="E9" s="2" t="s">
        <v>814</v>
      </c>
      <c r="F9" s="2" t="s">
        <v>815</v>
      </c>
      <c r="G9" s="2" t="s">
        <v>98</v>
      </c>
      <c r="H9" s="2" t="s">
        <v>816</v>
      </c>
      <c r="I9" s="2" t="s">
        <v>817</v>
      </c>
      <c r="J9" s="2" t="s">
        <v>851</v>
      </c>
      <c r="K9" s="2" t="s">
        <v>819</v>
      </c>
      <c r="L9" s="2" t="s">
        <v>820</v>
      </c>
      <c r="M9" s="2" t="s">
        <v>852</v>
      </c>
      <c r="N9" s="2" t="s">
        <v>10</v>
      </c>
      <c r="O9" s="7">
        <v>46323</v>
      </c>
      <c r="P9" s="2"/>
      <c r="Q9" s="2" t="s">
        <v>1118</v>
      </c>
      <c r="R9" s="2" t="s">
        <v>1115</v>
      </c>
    </row>
    <row r="10" spans="1:18" ht="60" customHeight="1" x14ac:dyDescent="0.25">
      <c r="A10" s="2" t="s">
        <v>1132</v>
      </c>
      <c r="B10" s="2" t="s">
        <v>853</v>
      </c>
      <c r="C10" s="2" t="s">
        <v>854</v>
      </c>
      <c r="D10" s="2" t="s">
        <v>48</v>
      </c>
      <c r="E10" s="2" t="s">
        <v>814</v>
      </c>
      <c r="F10" s="2" t="s">
        <v>815</v>
      </c>
      <c r="G10" s="2" t="s">
        <v>98</v>
      </c>
      <c r="H10" s="2" t="s">
        <v>816</v>
      </c>
      <c r="I10" s="2" t="s">
        <v>829</v>
      </c>
      <c r="J10" s="2" t="s">
        <v>855</v>
      </c>
      <c r="K10" s="2" t="s">
        <v>819</v>
      </c>
      <c r="L10" s="2" t="s">
        <v>820</v>
      </c>
      <c r="M10" s="2" t="s">
        <v>856</v>
      </c>
      <c r="N10" s="2" t="s">
        <v>10</v>
      </c>
      <c r="O10" s="7" t="s">
        <v>1130</v>
      </c>
      <c r="P10" s="2"/>
      <c r="Q10" s="2" t="s">
        <v>1135</v>
      </c>
      <c r="R10" s="2" t="s">
        <v>1153</v>
      </c>
    </row>
    <row r="11" spans="1:18" ht="90" customHeight="1" x14ac:dyDescent="0.25">
      <c r="A11" s="2"/>
      <c r="B11" s="2" t="s">
        <v>857</v>
      </c>
      <c r="C11" s="2" t="s">
        <v>858</v>
      </c>
      <c r="D11" s="2" t="s">
        <v>48</v>
      </c>
      <c r="E11" s="2" t="s">
        <v>814</v>
      </c>
      <c r="F11" s="2" t="s">
        <v>815</v>
      </c>
      <c r="G11" s="2" t="s">
        <v>98</v>
      </c>
      <c r="H11" s="2" t="s">
        <v>816</v>
      </c>
      <c r="I11" s="2" t="s">
        <v>817</v>
      </c>
      <c r="J11" s="2" t="s">
        <v>859</v>
      </c>
      <c r="K11" s="2" t="s">
        <v>819</v>
      </c>
      <c r="L11" s="2" t="s">
        <v>825</v>
      </c>
      <c r="M11" s="2" t="s">
        <v>860</v>
      </c>
      <c r="N11" s="2" t="s">
        <v>6</v>
      </c>
      <c r="O11" s="7"/>
      <c r="P11" s="2"/>
      <c r="Q11" s="2"/>
      <c r="R11" s="2"/>
    </row>
    <row r="12" spans="1:18" ht="90" customHeight="1" x14ac:dyDescent="0.25">
      <c r="A12" s="2"/>
      <c r="B12" s="2" t="s">
        <v>861</v>
      </c>
      <c r="C12" s="2" t="s">
        <v>862</v>
      </c>
      <c r="D12" s="2" t="s">
        <v>48</v>
      </c>
      <c r="E12" s="2" t="s">
        <v>814</v>
      </c>
      <c r="F12" s="2" t="s">
        <v>815</v>
      </c>
      <c r="G12" s="2" t="s">
        <v>98</v>
      </c>
      <c r="H12" s="2" t="s">
        <v>816</v>
      </c>
      <c r="I12" s="2" t="s">
        <v>817</v>
      </c>
      <c r="J12" s="2" t="s">
        <v>863</v>
      </c>
      <c r="K12" s="2" t="s">
        <v>819</v>
      </c>
      <c r="L12" s="2" t="s">
        <v>825</v>
      </c>
      <c r="M12" s="2" t="s">
        <v>864</v>
      </c>
      <c r="N12" s="2" t="s">
        <v>6</v>
      </c>
      <c r="O12" s="7"/>
      <c r="P12" s="2"/>
      <c r="Q12" s="2"/>
      <c r="R12" s="2"/>
    </row>
    <row r="13" spans="1:18" ht="60" customHeight="1" x14ac:dyDescent="0.25">
      <c r="A13" s="2"/>
      <c r="B13" s="2" t="s">
        <v>865</v>
      </c>
      <c r="C13" s="2" t="s">
        <v>866</v>
      </c>
      <c r="D13" s="2" t="s">
        <v>48</v>
      </c>
      <c r="E13" s="2" t="s">
        <v>814</v>
      </c>
      <c r="F13" s="2" t="s">
        <v>815</v>
      </c>
      <c r="G13" s="2" t="s">
        <v>98</v>
      </c>
      <c r="H13" s="2" t="s">
        <v>816</v>
      </c>
      <c r="I13" s="2" t="s">
        <v>817</v>
      </c>
      <c r="J13" s="2" t="s">
        <v>867</v>
      </c>
      <c r="K13" s="2" t="s">
        <v>819</v>
      </c>
      <c r="L13" s="2" t="s">
        <v>820</v>
      </c>
      <c r="M13" s="2" t="s">
        <v>868</v>
      </c>
      <c r="N13" s="2" t="s">
        <v>6</v>
      </c>
      <c r="O13" s="7"/>
      <c r="P13" s="2"/>
      <c r="Q13" s="2"/>
      <c r="R13" s="2"/>
    </row>
    <row r="14" spans="1:18" ht="60" customHeight="1" x14ac:dyDescent="0.25">
      <c r="A14" s="2"/>
      <c r="B14" s="2" t="s">
        <v>869</v>
      </c>
      <c r="C14" s="2" t="s">
        <v>870</v>
      </c>
      <c r="D14" s="2" t="s">
        <v>48</v>
      </c>
      <c r="E14" s="2" t="s">
        <v>871</v>
      </c>
      <c r="F14" s="2" t="s">
        <v>872</v>
      </c>
      <c r="G14" s="2" t="s">
        <v>98</v>
      </c>
      <c r="H14" s="2" t="s">
        <v>816</v>
      </c>
      <c r="I14" s="2" t="s">
        <v>817</v>
      </c>
      <c r="J14" s="2" t="s">
        <v>873</v>
      </c>
      <c r="K14" s="2" t="s">
        <v>819</v>
      </c>
      <c r="L14" s="2" t="s">
        <v>874</v>
      </c>
      <c r="M14" s="2" t="s">
        <v>875</v>
      </c>
      <c r="N14" s="2" t="s">
        <v>6</v>
      </c>
      <c r="O14" s="7"/>
      <c r="P14" s="2"/>
      <c r="Q14" s="2"/>
      <c r="R14" s="2"/>
    </row>
    <row r="15" spans="1:18" ht="60" customHeight="1" x14ac:dyDescent="0.25">
      <c r="A15" s="2"/>
      <c r="B15" s="2" t="s">
        <v>876</v>
      </c>
      <c r="C15" s="2" t="s">
        <v>877</v>
      </c>
      <c r="D15" s="2" t="s">
        <v>48</v>
      </c>
      <c r="E15" s="2" t="s">
        <v>871</v>
      </c>
      <c r="F15" s="2" t="s">
        <v>872</v>
      </c>
      <c r="G15" s="2" t="s">
        <v>98</v>
      </c>
      <c r="H15" s="2" t="s">
        <v>816</v>
      </c>
      <c r="I15" s="2" t="s">
        <v>817</v>
      </c>
      <c r="J15" s="2" t="s">
        <v>878</v>
      </c>
      <c r="K15" s="2" t="s">
        <v>819</v>
      </c>
      <c r="L15" s="2" t="s">
        <v>820</v>
      </c>
      <c r="M15" s="2" t="s">
        <v>879</v>
      </c>
      <c r="N15" s="2" t="s">
        <v>6</v>
      </c>
      <c r="O15" s="7"/>
      <c r="P15" s="2"/>
      <c r="Q15" s="2"/>
      <c r="R15" s="2"/>
    </row>
    <row r="16" spans="1:18" ht="60" customHeight="1" x14ac:dyDescent="0.25">
      <c r="A16" s="2"/>
      <c r="B16" s="2" t="s">
        <v>880</v>
      </c>
      <c r="C16" s="2" t="s">
        <v>881</v>
      </c>
      <c r="D16" s="2" t="s">
        <v>48</v>
      </c>
      <c r="E16" s="2" t="s">
        <v>871</v>
      </c>
      <c r="F16" s="2" t="s">
        <v>872</v>
      </c>
      <c r="G16" s="2" t="s">
        <v>98</v>
      </c>
      <c r="H16" s="2" t="s">
        <v>816</v>
      </c>
      <c r="I16" s="2" t="s">
        <v>817</v>
      </c>
      <c r="J16" s="2" t="s">
        <v>882</v>
      </c>
      <c r="K16" s="2" t="s">
        <v>819</v>
      </c>
      <c r="L16" s="2" t="s">
        <v>820</v>
      </c>
      <c r="M16" s="2" t="s">
        <v>883</v>
      </c>
      <c r="N16" s="2" t="s">
        <v>6</v>
      </c>
      <c r="O16" s="7"/>
      <c r="P16" s="2"/>
      <c r="Q16" s="2"/>
      <c r="R16" s="2"/>
    </row>
    <row r="17" spans="1:18" ht="60" customHeight="1" x14ac:dyDescent="0.25">
      <c r="A17" s="2"/>
      <c r="B17" s="2" t="s">
        <v>884</v>
      </c>
      <c r="C17" s="2" t="s">
        <v>885</v>
      </c>
      <c r="D17" s="2" t="s">
        <v>48</v>
      </c>
      <c r="E17" s="2" t="s">
        <v>871</v>
      </c>
      <c r="F17" s="2" t="s">
        <v>872</v>
      </c>
      <c r="G17" s="2" t="s">
        <v>98</v>
      </c>
      <c r="H17" s="2" t="s">
        <v>816</v>
      </c>
      <c r="I17" s="2" t="s">
        <v>817</v>
      </c>
      <c r="J17" s="2" t="s">
        <v>886</v>
      </c>
      <c r="K17" s="2" t="s">
        <v>819</v>
      </c>
      <c r="L17" s="2" t="s">
        <v>820</v>
      </c>
      <c r="M17" s="2" t="s">
        <v>887</v>
      </c>
      <c r="N17" s="2" t="s">
        <v>6</v>
      </c>
      <c r="O17" s="7"/>
      <c r="P17" s="2"/>
      <c r="Q17" s="2"/>
      <c r="R17" s="2"/>
    </row>
    <row r="18" spans="1:18" ht="90" customHeight="1" x14ac:dyDescent="0.25">
      <c r="A18" s="2"/>
      <c r="B18" s="2" t="s">
        <v>888</v>
      </c>
      <c r="C18" s="2" t="s">
        <v>889</v>
      </c>
      <c r="D18" s="2" t="s">
        <v>48</v>
      </c>
      <c r="E18" s="2" t="s">
        <v>871</v>
      </c>
      <c r="F18" s="2" t="s">
        <v>872</v>
      </c>
      <c r="G18" s="2" t="s">
        <v>98</v>
      </c>
      <c r="H18" s="2" t="s">
        <v>816</v>
      </c>
      <c r="I18" s="2" t="s">
        <v>817</v>
      </c>
      <c r="J18" s="2" t="s">
        <v>890</v>
      </c>
      <c r="K18" s="2" t="s">
        <v>819</v>
      </c>
      <c r="L18" s="2" t="s">
        <v>825</v>
      </c>
      <c r="M18" s="2" t="s">
        <v>891</v>
      </c>
      <c r="N18" s="2" t="s">
        <v>6</v>
      </c>
      <c r="O18" s="7"/>
      <c r="P18" s="2"/>
      <c r="Q18" s="2"/>
      <c r="R18" s="2"/>
    </row>
    <row r="19" spans="1:18" ht="60" customHeight="1" x14ac:dyDescent="0.25">
      <c r="A19" s="2" t="s">
        <v>1110</v>
      </c>
      <c r="B19" s="2" t="s">
        <v>892</v>
      </c>
      <c r="C19" s="2" t="s">
        <v>893</v>
      </c>
      <c r="D19" s="2" t="s">
        <v>48</v>
      </c>
      <c r="E19" s="2" t="s">
        <v>871</v>
      </c>
      <c r="F19" s="2" t="s">
        <v>872</v>
      </c>
      <c r="G19" s="2" t="s">
        <v>98</v>
      </c>
      <c r="H19" s="2" t="s">
        <v>816</v>
      </c>
      <c r="I19" s="2" t="s">
        <v>842</v>
      </c>
      <c r="J19" s="2" t="s">
        <v>894</v>
      </c>
      <c r="K19" s="2" t="s">
        <v>819</v>
      </c>
      <c r="L19" s="2" t="s">
        <v>820</v>
      </c>
      <c r="M19" s="2" t="s">
        <v>895</v>
      </c>
      <c r="N19" s="2" t="s">
        <v>10</v>
      </c>
      <c r="O19" s="7">
        <v>46323</v>
      </c>
      <c r="P19" s="2"/>
      <c r="Q19" s="2" t="s">
        <v>1118</v>
      </c>
      <c r="R19" s="2" t="s">
        <v>1116</v>
      </c>
    </row>
    <row r="20" spans="1:18" ht="90" customHeight="1" x14ac:dyDescent="0.25">
      <c r="A20" s="2"/>
      <c r="B20" s="2" t="s">
        <v>896</v>
      </c>
      <c r="C20" s="2" t="s">
        <v>897</v>
      </c>
      <c r="D20" s="2" t="s">
        <v>48</v>
      </c>
      <c r="E20" s="2" t="s">
        <v>871</v>
      </c>
      <c r="F20" s="2" t="s">
        <v>872</v>
      </c>
      <c r="G20" s="2" t="s">
        <v>98</v>
      </c>
      <c r="H20" s="2" t="s">
        <v>816</v>
      </c>
      <c r="I20" s="2" t="s">
        <v>817</v>
      </c>
      <c r="J20" s="2" t="s">
        <v>898</v>
      </c>
      <c r="K20" s="2" t="s">
        <v>819</v>
      </c>
      <c r="L20" s="2" t="s">
        <v>825</v>
      </c>
      <c r="M20" s="2" t="s">
        <v>899</v>
      </c>
      <c r="N20" s="2" t="s">
        <v>6</v>
      </c>
      <c r="O20" s="7"/>
      <c r="P20" s="2"/>
      <c r="Q20" s="2"/>
      <c r="R20" s="2"/>
    </row>
    <row r="21" spans="1:18" ht="60" customHeight="1" x14ac:dyDescent="0.25">
      <c r="A21" s="2" t="s">
        <v>1132</v>
      </c>
      <c r="B21" s="2" t="s">
        <v>900</v>
      </c>
      <c r="C21" s="2" t="s">
        <v>901</v>
      </c>
      <c r="D21" s="2" t="s">
        <v>48</v>
      </c>
      <c r="E21" s="2" t="s">
        <v>871</v>
      </c>
      <c r="F21" s="2" t="s">
        <v>872</v>
      </c>
      <c r="G21" s="2" t="s">
        <v>98</v>
      </c>
      <c r="H21" s="2" t="s">
        <v>816</v>
      </c>
      <c r="I21" s="2" t="s">
        <v>829</v>
      </c>
      <c r="J21" s="2" t="s">
        <v>902</v>
      </c>
      <c r="K21" s="2" t="s">
        <v>819</v>
      </c>
      <c r="L21" s="2" t="s">
        <v>820</v>
      </c>
      <c r="M21" s="2" t="s">
        <v>903</v>
      </c>
      <c r="N21" s="2" t="s">
        <v>10</v>
      </c>
      <c r="O21" s="7" t="s">
        <v>1130</v>
      </c>
      <c r="P21" s="2"/>
      <c r="Q21" s="2" t="s">
        <v>1135</v>
      </c>
      <c r="R21" s="2" t="s">
        <v>1154</v>
      </c>
    </row>
    <row r="22" spans="1:18" ht="60" customHeight="1" x14ac:dyDescent="0.25">
      <c r="A22" s="2" t="s">
        <v>1110</v>
      </c>
      <c r="B22" s="2" t="s">
        <v>904</v>
      </c>
      <c r="C22" s="2" t="s">
        <v>905</v>
      </c>
      <c r="D22" s="2" t="s">
        <v>48</v>
      </c>
      <c r="E22" s="2" t="s">
        <v>871</v>
      </c>
      <c r="F22" s="2" t="s">
        <v>872</v>
      </c>
      <c r="G22" s="2" t="s">
        <v>98</v>
      </c>
      <c r="H22" s="2" t="s">
        <v>816</v>
      </c>
      <c r="I22" s="2" t="s">
        <v>817</v>
      </c>
      <c r="J22" s="2" t="s">
        <v>906</v>
      </c>
      <c r="K22" s="2" t="s">
        <v>819</v>
      </c>
      <c r="L22" s="2" t="s">
        <v>820</v>
      </c>
      <c r="M22" s="2" t="s">
        <v>907</v>
      </c>
      <c r="N22" s="2" t="s">
        <v>10</v>
      </c>
      <c r="O22" s="7">
        <v>46323</v>
      </c>
      <c r="P22" s="2"/>
      <c r="Q22" s="2" t="s">
        <v>1118</v>
      </c>
      <c r="R22" s="2" t="s">
        <v>1117</v>
      </c>
    </row>
    <row r="23" spans="1:18" ht="60" customHeight="1" x14ac:dyDescent="0.25">
      <c r="A23" s="2"/>
      <c r="B23" s="2" t="s">
        <v>908</v>
      </c>
      <c r="C23" s="2" t="s">
        <v>909</v>
      </c>
      <c r="D23" s="2" t="s">
        <v>48</v>
      </c>
      <c r="E23" s="2" t="s">
        <v>871</v>
      </c>
      <c r="F23" s="2" t="s">
        <v>872</v>
      </c>
      <c r="G23" s="2" t="s">
        <v>98</v>
      </c>
      <c r="H23" s="2" t="s">
        <v>816</v>
      </c>
      <c r="I23" s="2" t="s">
        <v>829</v>
      </c>
      <c r="J23" s="2" t="s">
        <v>910</v>
      </c>
      <c r="K23" s="2" t="s">
        <v>819</v>
      </c>
      <c r="L23" s="2" t="s">
        <v>820</v>
      </c>
      <c r="M23" s="2" t="s">
        <v>911</v>
      </c>
      <c r="N23" s="2" t="s">
        <v>6</v>
      </c>
      <c r="O23" s="7"/>
      <c r="P23" s="2"/>
      <c r="Q23" s="2"/>
      <c r="R23" s="2"/>
    </row>
  </sheetData>
  <conditionalFormatting sqref="K2:K23">
    <cfRule type="expression" dxfId="47" priority="1">
      <formula>$K2="Pass"</formula>
    </cfRule>
    <cfRule type="expression" dxfId="46" priority="2">
      <formula>$K2="Fail"</formula>
    </cfRule>
    <cfRule type="expression" dxfId="45" priority="3">
      <formula>$K2="Blocked"</formula>
    </cfRule>
    <cfRule type="expression" dxfId="44" priority="4">
      <formula>$K2="Deferred"</formula>
    </cfRule>
    <cfRule type="expression" dxfId="43" priority="5">
      <formula>$K2="Ready to Test"</formula>
    </cfRule>
    <cfRule type="expression" dxfId="42" priority="6">
      <formula>$K2="Pass with Known Issue"</formula>
    </cfRule>
    <cfRule type="expression" dxfId="41" priority="7">
      <formula>$K2="Not Built"</formula>
    </cfRule>
    <cfRule type="expression" dxfId="40" priority="8">
      <formula>$K2="N/A"</formula>
    </cfRule>
  </conditionalFormatting>
  <conditionalFormatting sqref="N2:N500">
    <cfRule type="expression" dxfId="39" priority="9">
      <formula>$N2="Pass"</formula>
    </cfRule>
    <cfRule type="expression" dxfId="38" priority="10">
      <formula>$N2="Fail"</formula>
    </cfRule>
    <cfRule type="expression" dxfId="37" priority="11">
      <formula>$N2="Blocked"</formula>
    </cfRule>
    <cfRule type="expression" dxfId="36" priority="12">
      <formula>$N2="Deferred"</formula>
    </cfRule>
    <cfRule type="expression" dxfId="35" priority="13">
      <formula>$N2="Ready to Test"</formula>
    </cfRule>
    <cfRule type="expression" dxfId="34" priority="14">
      <formula>$N2="Pass with Known Issue"</formula>
    </cfRule>
    <cfRule type="expression" dxfId="33" priority="15">
      <formula>$N2="Not Built"</formula>
    </cfRule>
    <cfRule type="expression" dxfId="32" priority="16">
      <formula>$N2="N/A"</formula>
    </cfRule>
  </conditionalFormatting>
  <dataValidations count="3">
    <dataValidation type="list" allowBlank="1" sqref="N2:N500" xr:uid="{00000000-0002-0000-0300-000000000000}">
      <formula1>"Not Built,Ready to Test,Pass,Fail,Blocked,Deferred,N/A,Pass with Known Issue"</formula1>
    </dataValidation>
    <dataValidation type="list" allowBlank="1" sqref="H2:H500" xr:uid="{00000000-0002-0000-0300-000002000000}">
      <formula1>"COPILOT,USER AUTHORIZATION,MANUAL,VERIFY"</formula1>
    </dataValidation>
    <dataValidation type="list" allowBlank="1" sqref="I2:I500" xr:uid="{00000000-0002-0000-0300-000003000000}">
      <formula1>"Local/Test,Source/Build Inspection,Production Read-Only,Production Smoke Test"</formula1>
    </dataValidation>
  </dataValidations>
  <pageMargins left="0.75" right="0.75" top="1" bottom="1" header="0.5" footer="0.5"/>
  <pageSetup fitToHeight="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22"/>
  <sheetViews>
    <sheetView showGridLines="0" zoomScale="80" workbookViewId="0">
      <pane ySplit="1" topLeftCell="A2" activePane="bottomLeft" state="frozen"/>
      <selection pane="bottomLeft"/>
    </sheetView>
  </sheetViews>
  <sheetFormatPr defaultRowHeight="15" x14ac:dyDescent="0.25"/>
  <cols>
    <col min="1" max="1" width="16" customWidth="1"/>
    <col min="2" max="2" width="27" customWidth="1"/>
    <col min="3" max="3" width="20" customWidth="1"/>
    <col min="4" max="4" width="8" customWidth="1"/>
    <col min="5" max="5" width="26" customWidth="1"/>
    <col min="6" max="6" width="30" customWidth="1"/>
    <col min="7" max="7" width="25" customWidth="1"/>
    <col min="8" max="8" width="38" customWidth="1"/>
    <col min="9" max="9" width="19" customWidth="1"/>
    <col min="10" max="10" width="16" customWidth="1"/>
    <col min="11" max="11" width="20" customWidth="1"/>
    <col min="12" max="12" width="55" customWidth="1"/>
    <col min="13" max="13" width="70" customWidth="1"/>
    <col min="14" max="14" width="20" customWidth="1"/>
    <col min="15" max="15" width="42" customWidth="1"/>
    <col min="16" max="16" width="24" customWidth="1"/>
    <col min="17" max="17" width="18" customWidth="1"/>
    <col min="18" max="18" width="40" customWidth="1"/>
  </cols>
  <sheetData>
    <row r="1" spans="1:18" ht="33.950000000000003" customHeight="1" x14ac:dyDescent="0.25">
      <c r="A1" s="6" t="s">
        <v>79</v>
      </c>
      <c r="B1" s="6" t="s">
        <v>912</v>
      </c>
      <c r="C1" s="6" t="s">
        <v>81</v>
      </c>
      <c r="D1" s="6" t="s">
        <v>45</v>
      </c>
      <c r="E1" s="6" t="s">
        <v>913</v>
      </c>
      <c r="F1" s="6" t="s">
        <v>914</v>
      </c>
      <c r="G1" s="6" t="s">
        <v>915</v>
      </c>
      <c r="H1" s="6" t="s">
        <v>916</v>
      </c>
      <c r="I1" s="6" t="s">
        <v>917</v>
      </c>
      <c r="J1" s="6" t="s">
        <v>918</v>
      </c>
      <c r="K1" s="6" t="s">
        <v>919</v>
      </c>
      <c r="L1" s="6" t="s">
        <v>920</v>
      </c>
      <c r="M1" s="6" t="s">
        <v>921</v>
      </c>
      <c r="N1" s="6" t="s">
        <v>89</v>
      </c>
      <c r="O1" s="6" t="s">
        <v>922</v>
      </c>
      <c r="P1" s="6" t="s">
        <v>923</v>
      </c>
      <c r="Q1" s="6" t="s">
        <v>924</v>
      </c>
      <c r="R1" s="6" t="s">
        <v>47</v>
      </c>
    </row>
    <row r="2" spans="1:18" ht="30" customHeight="1" x14ac:dyDescent="0.25">
      <c r="A2" s="2" t="s">
        <v>1132</v>
      </c>
      <c r="B2" s="2" t="s">
        <v>925</v>
      </c>
      <c r="C2" s="2" t="s">
        <v>833</v>
      </c>
      <c r="D2" s="2" t="s">
        <v>48</v>
      </c>
      <c r="E2" s="2" t="s">
        <v>814</v>
      </c>
      <c r="F2" s="2" t="s">
        <v>1133</v>
      </c>
      <c r="G2" s="2" t="s">
        <v>1134</v>
      </c>
      <c r="H2" s="2" t="s">
        <v>926</v>
      </c>
      <c r="I2" s="2" t="s">
        <v>98</v>
      </c>
      <c r="J2" s="7" t="s">
        <v>1130</v>
      </c>
      <c r="K2" s="2" t="s">
        <v>927</v>
      </c>
      <c r="L2" s="2" t="s">
        <v>928</v>
      </c>
      <c r="M2" s="2" t="s">
        <v>835</v>
      </c>
      <c r="N2" s="2" t="s">
        <v>10</v>
      </c>
      <c r="O2" s="2" t="s">
        <v>1135</v>
      </c>
      <c r="P2" s="2" t="s">
        <v>927</v>
      </c>
      <c r="Q2" s="2" t="s">
        <v>929</v>
      </c>
      <c r="R2" s="2" t="s">
        <v>1136</v>
      </c>
    </row>
    <row r="3" spans="1:18" ht="30" customHeight="1" x14ac:dyDescent="0.25">
      <c r="A3" s="2" t="s">
        <v>1132</v>
      </c>
      <c r="B3" s="2" t="s">
        <v>930</v>
      </c>
      <c r="C3" s="2" t="s">
        <v>854</v>
      </c>
      <c r="D3" s="2" t="s">
        <v>48</v>
      </c>
      <c r="E3" s="2" t="s">
        <v>814</v>
      </c>
      <c r="F3" s="2" t="s">
        <v>1133</v>
      </c>
      <c r="G3" s="2" t="s">
        <v>1134</v>
      </c>
      <c r="H3" s="2" t="s">
        <v>926</v>
      </c>
      <c r="I3" s="2" t="s">
        <v>98</v>
      </c>
      <c r="J3" s="7" t="s">
        <v>1130</v>
      </c>
      <c r="K3" s="2" t="s">
        <v>927</v>
      </c>
      <c r="L3" s="2" t="s">
        <v>928</v>
      </c>
      <c r="M3" s="2" t="s">
        <v>856</v>
      </c>
      <c r="N3" s="2" t="s">
        <v>10</v>
      </c>
      <c r="O3" s="2" t="s">
        <v>1137</v>
      </c>
      <c r="P3" s="2" t="s">
        <v>927</v>
      </c>
      <c r="Q3" s="2" t="s">
        <v>929</v>
      </c>
      <c r="R3" s="2" t="s">
        <v>1138</v>
      </c>
    </row>
    <row r="4" spans="1:18" ht="30" customHeight="1" x14ac:dyDescent="0.25">
      <c r="A4" s="2"/>
      <c r="B4" s="2" t="s">
        <v>931</v>
      </c>
      <c r="C4" s="2" t="s">
        <v>932</v>
      </c>
      <c r="D4" s="2" t="s">
        <v>48</v>
      </c>
      <c r="E4" s="2" t="s">
        <v>814</v>
      </c>
      <c r="F4" s="2"/>
      <c r="G4" s="2"/>
      <c r="H4" s="2" t="s">
        <v>926</v>
      </c>
      <c r="I4" s="2" t="s">
        <v>98</v>
      </c>
      <c r="J4" s="7"/>
      <c r="K4" s="2" t="s">
        <v>929</v>
      </c>
      <c r="L4" s="2" t="s">
        <v>928</v>
      </c>
      <c r="M4" s="2" t="s">
        <v>933</v>
      </c>
      <c r="N4" s="2" t="s">
        <v>6</v>
      </c>
      <c r="O4" s="2"/>
      <c r="P4" s="2" t="s">
        <v>929</v>
      </c>
      <c r="Q4" s="2" t="s">
        <v>929</v>
      </c>
      <c r="R4" s="2"/>
    </row>
    <row r="5" spans="1:18" ht="30" customHeight="1" x14ac:dyDescent="0.25">
      <c r="A5" s="2" t="s">
        <v>1132</v>
      </c>
      <c r="B5" s="2" t="s">
        <v>934</v>
      </c>
      <c r="C5" s="2" t="s">
        <v>862</v>
      </c>
      <c r="D5" s="2" t="s">
        <v>48</v>
      </c>
      <c r="E5" s="2" t="s">
        <v>814</v>
      </c>
      <c r="F5" s="2" t="s">
        <v>1133</v>
      </c>
      <c r="G5" s="2" t="s">
        <v>1134</v>
      </c>
      <c r="H5" s="2" t="s">
        <v>926</v>
      </c>
      <c r="I5" s="2" t="s">
        <v>98</v>
      </c>
      <c r="J5" s="7" t="s">
        <v>1130</v>
      </c>
      <c r="K5" s="2" t="s">
        <v>927</v>
      </c>
      <c r="L5" s="2" t="s">
        <v>928</v>
      </c>
      <c r="M5" s="2" t="s">
        <v>864</v>
      </c>
      <c r="N5" s="2" t="s">
        <v>10</v>
      </c>
      <c r="O5" s="2" t="s">
        <v>1135</v>
      </c>
      <c r="P5" s="2" t="s">
        <v>927</v>
      </c>
      <c r="Q5" s="2" t="s">
        <v>929</v>
      </c>
      <c r="R5" s="2" t="s">
        <v>1139</v>
      </c>
    </row>
    <row r="6" spans="1:18" ht="45" customHeight="1" x14ac:dyDescent="0.25">
      <c r="A6" s="2"/>
      <c r="B6" s="2" t="s">
        <v>935</v>
      </c>
      <c r="C6" s="2" t="s">
        <v>866</v>
      </c>
      <c r="D6" s="2" t="s">
        <v>48</v>
      </c>
      <c r="E6" s="2" t="s">
        <v>814</v>
      </c>
      <c r="F6" s="2"/>
      <c r="G6" s="2"/>
      <c r="H6" s="2" t="s">
        <v>926</v>
      </c>
      <c r="I6" s="2" t="s">
        <v>98</v>
      </c>
      <c r="J6" s="7"/>
      <c r="K6" s="2" t="s">
        <v>929</v>
      </c>
      <c r="L6" s="2" t="s">
        <v>928</v>
      </c>
      <c r="M6" s="2" t="s">
        <v>868</v>
      </c>
      <c r="N6" s="2" t="s">
        <v>6</v>
      </c>
      <c r="O6" s="2"/>
      <c r="P6" s="2" t="s">
        <v>929</v>
      </c>
      <c r="Q6" s="2" t="s">
        <v>929</v>
      </c>
      <c r="R6" s="2"/>
    </row>
    <row r="7" spans="1:18" ht="45" customHeight="1" x14ac:dyDescent="0.25">
      <c r="A7" s="2" t="s">
        <v>1132</v>
      </c>
      <c r="B7" s="2" t="s">
        <v>936</v>
      </c>
      <c r="C7" s="2" t="s">
        <v>937</v>
      </c>
      <c r="D7" s="2" t="s">
        <v>48</v>
      </c>
      <c r="E7" s="2" t="s">
        <v>814</v>
      </c>
      <c r="F7" s="2" t="s">
        <v>1133</v>
      </c>
      <c r="G7" s="2" t="s">
        <v>1134</v>
      </c>
      <c r="H7" s="2" t="s">
        <v>926</v>
      </c>
      <c r="I7" s="2" t="s">
        <v>98</v>
      </c>
      <c r="J7" s="7" t="s">
        <v>1130</v>
      </c>
      <c r="K7" s="2" t="s">
        <v>929</v>
      </c>
      <c r="L7" s="2" t="s">
        <v>928</v>
      </c>
      <c r="M7" s="2" t="s">
        <v>938</v>
      </c>
      <c r="N7" s="2" t="s">
        <v>10</v>
      </c>
      <c r="O7" s="2" t="s">
        <v>1137</v>
      </c>
      <c r="P7" s="2" t="s">
        <v>927</v>
      </c>
      <c r="Q7" s="2" t="s">
        <v>929</v>
      </c>
      <c r="R7" s="2" t="s">
        <v>1140</v>
      </c>
    </row>
    <row r="8" spans="1:18" ht="30" customHeight="1" x14ac:dyDescent="0.25">
      <c r="A8" s="2" t="s">
        <v>1132</v>
      </c>
      <c r="B8" s="2" t="s">
        <v>939</v>
      </c>
      <c r="C8" s="2" t="s">
        <v>940</v>
      </c>
      <c r="D8" s="2" t="s">
        <v>48</v>
      </c>
      <c r="E8" s="2" t="s">
        <v>941</v>
      </c>
      <c r="F8" s="2" t="s">
        <v>1133</v>
      </c>
      <c r="G8" s="2" t="s">
        <v>1134</v>
      </c>
      <c r="H8" s="2" t="s">
        <v>926</v>
      </c>
      <c r="I8" s="2" t="s">
        <v>98</v>
      </c>
      <c r="J8" s="7" t="s">
        <v>1130</v>
      </c>
      <c r="K8" s="2" t="s">
        <v>927</v>
      </c>
      <c r="L8" s="2" t="s">
        <v>928</v>
      </c>
      <c r="M8" s="2" t="s">
        <v>942</v>
      </c>
      <c r="N8" s="2" t="s">
        <v>10</v>
      </c>
      <c r="O8" s="2" t="s">
        <v>1135</v>
      </c>
      <c r="P8" s="2" t="s">
        <v>927</v>
      </c>
      <c r="Q8" s="2" t="s">
        <v>929</v>
      </c>
      <c r="R8" s="2" t="s">
        <v>1141</v>
      </c>
    </row>
    <row r="9" spans="1:18" ht="30" customHeight="1" x14ac:dyDescent="0.25">
      <c r="A9" s="2" t="s">
        <v>1132</v>
      </c>
      <c r="B9" s="2" t="s">
        <v>943</v>
      </c>
      <c r="C9" s="2" t="s">
        <v>944</v>
      </c>
      <c r="D9" s="2" t="s">
        <v>48</v>
      </c>
      <c r="E9" s="2" t="s">
        <v>941</v>
      </c>
      <c r="F9" s="2" t="s">
        <v>1133</v>
      </c>
      <c r="G9" s="2" t="s">
        <v>1134</v>
      </c>
      <c r="H9" s="2" t="s">
        <v>926</v>
      </c>
      <c r="I9" s="2" t="s">
        <v>98</v>
      </c>
      <c r="J9" s="7" t="s">
        <v>1130</v>
      </c>
      <c r="K9" s="2" t="s">
        <v>927</v>
      </c>
      <c r="L9" s="2" t="s">
        <v>928</v>
      </c>
      <c r="M9" s="2" t="s">
        <v>945</v>
      </c>
      <c r="N9" s="2" t="s">
        <v>10</v>
      </c>
      <c r="O9" s="2" t="s">
        <v>1135</v>
      </c>
      <c r="P9" s="2" t="s">
        <v>927</v>
      </c>
      <c r="Q9" s="2" t="s">
        <v>929</v>
      </c>
      <c r="R9" s="2" t="s">
        <v>1142</v>
      </c>
    </row>
    <row r="10" spans="1:18" ht="30" customHeight="1" x14ac:dyDescent="0.25">
      <c r="A10" s="2" t="s">
        <v>1132</v>
      </c>
      <c r="B10" s="2" t="s">
        <v>946</v>
      </c>
      <c r="C10" s="2" t="s">
        <v>947</v>
      </c>
      <c r="D10" s="2" t="s">
        <v>48</v>
      </c>
      <c r="E10" s="2" t="s">
        <v>941</v>
      </c>
      <c r="F10" s="2" t="s">
        <v>1133</v>
      </c>
      <c r="G10" s="2" t="s">
        <v>1134</v>
      </c>
      <c r="H10" s="2" t="s">
        <v>926</v>
      </c>
      <c r="I10" s="2" t="s">
        <v>98</v>
      </c>
      <c r="J10" s="7" t="s">
        <v>1130</v>
      </c>
      <c r="K10" s="2" t="s">
        <v>929</v>
      </c>
      <c r="L10" s="2" t="s">
        <v>928</v>
      </c>
      <c r="M10" s="2" t="s">
        <v>948</v>
      </c>
      <c r="N10" s="2" t="s">
        <v>10</v>
      </c>
      <c r="O10" s="2" t="s">
        <v>1135</v>
      </c>
      <c r="P10" s="2" t="s">
        <v>927</v>
      </c>
      <c r="Q10" s="2" t="s">
        <v>929</v>
      </c>
      <c r="R10" s="2" t="s">
        <v>1143</v>
      </c>
    </row>
    <row r="11" spans="1:18" ht="30" customHeight="1" x14ac:dyDescent="0.25">
      <c r="A11" s="2" t="s">
        <v>1132</v>
      </c>
      <c r="B11" s="2" t="s">
        <v>949</v>
      </c>
      <c r="C11" s="2" t="s">
        <v>950</v>
      </c>
      <c r="D11" s="2" t="s">
        <v>48</v>
      </c>
      <c r="E11" s="2" t="s">
        <v>941</v>
      </c>
      <c r="F11" s="2" t="s">
        <v>1133</v>
      </c>
      <c r="G11" s="2" t="s">
        <v>1134</v>
      </c>
      <c r="H11" s="2" t="s">
        <v>926</v>
      </c>
      <c r="I11" s="2" t="s">
        <v>98</v>
      </c>
      <c r="J11" s="7" t="s">
        <v>1130</v>
      </c>
      <c r="K11" s="2" t="s">
        <v>927</v>
      </c>
      <c r="L11" s="2" t="s">
        <v>928</v>
      </c>
      <c r="M11" s="2" t="s">
        <v>951</v>
      </c>
      <c r="N11" s="2" t="s">
        <v>10</v>
      </c>
      <c r="O11" s="2" t="s">
        <v>1135</v>
      </c>
      <c r="P11" s="2" t="s">
        <v>927</v>
      </c>
      <c r="Q11" s="2" t="s">
        <v>929</v>
      </c>
      <c r="R11" s="2" t="s">
        <v>1144</v>
      </c>
    </row>
    <row r="12" spans="1:18" ht="45" customHeight="1" x14ac:dyDescent="0.25">
      <c r="A12" s="2"/>
      <c r="B12" s="2" t="s">
        <v>952</v>
      </c>
      <c r="C12" s="2" t="s">
        <v>953</v>
      </c>
      <c r="D12" s="2" t="s">
        <v>48</v>
      </c>
      <c r="E12" s="2" t="s">
        <v>941</v>
      </c>
      <c r="F12" s="2"/>
      <c r="G12" s="2"/>
      <c r="H12" s="2" t="s">
        <v>926</v>
      </c>
      <c r="I12" s="2" t="s">
        <v>98</v>
      </c>
      <c r="J12" s="7"/>
      <c r="K12" s="2" t="s">
        <v>927</v>
      </c>
      <c r="L12" s="2" t="s">
        <v>928</v>
      </c>
      <c r="M12" s="2" t="s">
        <v>954</v>
      </c>
      <c r="N12" s="2" t="s">
        <v>6</v>
      </c>
      <c r="O12" s="2"/>
      <c r="P12" s="2" t="s">
        <v>929</v>
      </c>
      <c r="Q12" s="2" t="s">
        <v>929</v>
      </c>
      <c r="R12" s="2"/>
    </row>
    <row r="13" spans="1:18" ht="45" customHeight="1" x14ac:dyDescent="0.25">
      <c r="A13" s="2" t="s">
        <v>1132</v>
      </c>
      <c r="B13" s="2" t="s">
        <v>955</v>
      </c>
      <c r="C13" s="2" t="s">
        <v>956</v>
      </c>
      <c r="D13" s="2" t="s">
        <v>48</v>
      </c>
      <c r="E13" s="2" t="s">
        <v>941</v>
      </c>
      <c r="F13" s="2" t="s">
        <v>1133</v>
      </c>
      <c r="G13" s="2" t="s">
        <v>1134</v>
      </c>
      <c r="H13" s="2" t="s">
        <v>926</v>
      </c>
      <c r="I13" s="2" t="s">
        <v>98</v>
      </c>
      <c r="J13" s="7" t="s">
        <v>1130</v>
      </c>
      <c r="K13" s="2" t="s">
        <v>927</v>
      </c>
      <c r="L13" s="2" t="s">
        <v>928</v>
      </c>
      <c r="M13" s="2" t="s">
        <v>957</v>
      </c>
      <c r="N13" s="2" t="s">
        <v>10</v>
      </c>
      <c r="O13" s="2" t="s">
        <v>1135</v>
      </c>
      <c r="P13" s="2" t="s">
        <v>927</v>
      </c>
      <c r="Q13" s="2" t="s">
        <v>929</v>
      </c>
      <c r="R13" s="2" t="s">
        <v>1145</v>
      </c>
    </row>
    <row r="14" spans="1:18" ht="45" customHeight="1" x14ac:dyDescent="0.25">
      <c r="A14" s="2" t="s">
        <v>1132</v>
      </c>
      <c r="B14" s="2" t="s">
        <v>958</v>
      </c>
      <c r="C14" s="2" t="s">
        <v>959</v>
      </c>
      <c r="D14" s="2" t="s">
        <v>48</v>
      </c>
      <c r="E14" s="2" t="s">
        <v>941</v>
      </c>
      <c r="F14" s="2" t="s">
        <v>1133</v>
      </c>
      <c r="G14" s="2" t="s">
        <v>1134</v>
      </c>
      <c r="H14" s="2" t="s">
        <v>926</v>
      </c>
      <c r="I14" s="2" t="s">
        <v>98</v>
      </c>
      <c r="J14" s="7" t="s">
        <v>1130</v>
      </c>
      <c r="K14" s="2" t="s">
        <v>927</v>
      </c>
      <c r="L14" s="2" t="s">
        <v>928</v>
      </c>
      <c r="M14" s="2" t="s">
        <v>960</v>
      </c>
      <c r="N14" s="2" t="s">
        <v>10</v>
      </c>
      <c r="O14" s="2" t="s">
        <v>1135</v>
      </c>
      <c r="P14" s="2" t="s">
        <v>927</v>
      </c>
      <c r="Q14" s="2" t="s">
        <v>929</v>
      </c>
      <c r="R14" s="2" t="s">
        <v>1146</v>
      </c>
    </row>
    <row r="15" spans="1:18" ht="45" customHeight="1" x14ac:dyDescent="0.25">
      <c r="A15" s="2"/>
      <c r="B15" s="2" t="s">
        <v>961</v>
      </c>
      <c r="C15" s="2" t="s">
        <v>962</v>
      </c>
      <c r="D15" s="2" t="s">
        <v>48</v>
      </c>
      <c r="E15" s="2" t="s">
        <v>941</v>
      </c>
      <c r="F15" s="2"/>
      <c r="G15" s="2"/>
      <c r="H15" s="2" t="s">
        <v>926</v>
      </c>
      <c r="I15" s="2" t="s">
        <v>98</v>
      </c>
      <c r="J15" s="7"/>
      <c r="K15" s="2" t="s">
        <v>927</v>
      </c>
      <c r="L15" s="2" t="s">
        <v>928</v>
      </c>
      <c r="M15" s="2" t="s">
        <v>963</v>
      </c>
      <c r="N15" s="2" t="s">
        <v>6</v>
      </c>
      <c r="O15" s="2"/>
      <c r="P15" s="2" t="s">
        <v>929</v>
      </c>
      <c r="Q15" s="2" t="s">
        <v>929</v>
      </c>
      <c r="R15" s="2"/>
    </row>
    <row r="16" spans="1:18" ht="30" customHeight="1" x14ac:dyDescent="0.25">
      <c r="A16" s="2"/>
      <c r="B16" s="2" t="s">
        <v>964</v>
      </c>
      <c r="C16" s="2" t="s">
        <v>965</v>
      </c>
      <c r="D16" s="2" t="s">
        <v>48</v>
      </c>
      <c r="E16" s="2" t="s">
        <v>941</v>
      </c>
      <c r="F16" s="2"/>
      <c r="G16" s="2"/>
      <c r="H16" s="2" t="s">
        <v>926</v>
      </c>
      <c r="I16" s="2" t="s">
        <v>98</v>
      </c>
      <c r="J16" s="7"/>
      <c r="K16" s="2" t="s">
        <v>927</v>
      </c>
      <c r="L16" s="2" t="s">
        <v>928</v>
      </c>
      <c r="M16" s="2" t="s">
        <v>966</v>
      </c>
      <c r="N16" s="2" t="s">
        <v>6</v>
      </c>
      <c r="O16" s="2"/>
      <c r="P16" s="2" t="s">
        <v>929</v>
      </c>
      <c r="Q16" s="2" t="s">
        <v>929</v>
      </c>
      <c r="R16" s="2"/>
    </row>
    <row r="17" spans="1:18" ht="45" customHeight="1" x14ac:dyDescent="0.25">
      <c r="A17" s="2"/>
      <c r="B17" s="2" t="s">
        <v>967</v>
      </c>
      <c r="C17" s="2" t="s">
        <v>968</v>
      </c>
      <c r="D17" s="2" t="s">
        <v>48</v>
      </c>
      <c r="E17" s="2" t="s">
        <v>941</v>
      </c>
      <c r="F17" s="2"/>
      <c r="G17" s="2"/>
      <c r="H17" s="2" t="s">
        <v>926</v>
      </c>
      <c r="I17" s="2" t="s">
        <v>98</v>
      </c>
      <c r="J17" s="7"/>
      <c r="K17" s="2" t="s">
        <v>927</v>
      </c>
      <c r="L17" s="2" t="s">
        <v>928</v>
      </c>
      <c r="M17" s="2" t="s">
        <v>969</v>
      </c>
      <c r="N17" s="2" t="s">
        <v>6</v>
      </c>
      <c r="O17" s="2"/>
      <c r="P17" s="2" t="s">
        <v>929</v>
      </c>
      <c r="Q17" s="2" t="s">
        <v>929</v>
      </c>
      <c r="R17" s="2"/>
    </row>
    <row r="18" spans="1:18" ht="30" customHeight="1" x14ac:dyDescent="0.25">
      <c r="A18" s="2" t="s">
        <v>1132</v>
      </c>
      <c r="B18" s="2" t="s">
        <v>970</v>
      </c>
      <c r="C18" s="2" t="s">
        <v>971</v>
      </c>
      <c r="D18" s="2" t="s">
        <v>48</v>
      </c>
      <c r="E18" s="2" t="s">
        <v>941</v>
      </c>
      <c r="F18" s="2" t="s">
        <v>1133</v>
      </c>
      <c r="G18" s="2" t="s">
        <v>1134</v>
      </c>
      <c r="H18" s="2" t="s">
        <v>926</v>
      </c>
      <c r="I18" s="2" t="s">
        <v>98</v>
      </c>
      <c r="J18" s="7" t="s">
        <v>1130</v>
      </c>
      <c r="K18" s="2" t="s">
        <v>927</v>
      </c>
      <c r="L18" s="2" t="s">
        <v>928</v>
      </c>
      <c r="M18" s="2" t="s">
        <v>972</v>
      </c>
      <c r="N18" s="2" t="s">
        <v>10</v>
      </c>
      <c r="O18" s="2" t="s">
        <v>1135</v>
      </c>
      <c r="P18" s="2" t="s">
        <v>927</v>
      </c>
      <c r="Q18" s="2" t="s">
        <v>929</v>
      </c>
      <c r="R18" s="2" t="s">
        <v>1147</v>
      </c>
    </row>
    <row r="19" spans="1:18" ht="45" customHeight="1" x14ac:dyDescent="0.25">
      <c r="A19" s="2" t="s">
        <v>1132</v>
      </c>
      <c r="B19" s="2" t="s">
        <v>973</v>
      </c>
      <c r="C19" s="2" t="s">
        <v>974</v>
      </c>
      <c r="D19" s="2" t="s">
        <v>48</v>
      </c>
      <c r="E19" s="2" t="s">
        <v>941</v>
      </c>
      <c r="F19" s="2" t="s">
        <v>1133</v>
      </c>
      <c r="G19" s="2" t="s">
        <v>1134</v>
      </c>
      <c r="H19" s="2" t="s">
        <v>926</v>
      </c>
      <c r="I19" s="2" t="s">
        <v>98</v>
      </c>
      <c r="J19" s="7" t="s">
        <v>1130</v>
      </c>
      <c r="K19" s="2" t="s">
        <v>927</v>
      </c>
      <c r="L19" s="2" t="s">
        <v>928</v>
      </c>
      <c r="M19" s="2" t="s">
        <v>975</v>
      </c>
      <c r="N19" s="2" t="s">
        <v>10</v>
      </c>
      <c r="O19" s="2" t="s">
        <v>1135</v>
      </c>
      <c r="P19" s="2" t="s">
        <v>927</v>
      </c>
      <c r="Q19" s="2" t="s">
        <v>929</v>
      </c>
      <c r="R19" s="2" t="s">
        <v>1148</v>
      </c>
    </row>
    <row r="20" spans="1:18" ht="60" customHeight="1" x14ac:dyDescent="0.25">
      <c r="A20" s="2" t="s">
        <v>1132</v>
      </c>
      <c r="B20" s="2" t="s">
        <v>976</v>
      </c>
      <c r="C20" s="2" t="s">
        <v>977</v>
      </c>
      <c r="D20" s="2" t="s">
        <v>48</v>
      </c>
      <c r="E20" s="2" t="s">
        <v>941</v>
      </c>
      <c r="F20" s="2" t="s">
        <v>1133</v>
      </c>
      <c r="G20" s="2" t="s">
        <v>1134</v>
      </c>
      <c r="H20" s="2" t="s">
        <v>926</v>
      </c>
      <c r="I20" s="2" t="s">
        <v>98</v>
      </c>
      <c r="J20" s="7" t="s">
        <v>1130</v>
      </c>
      <c r="K20" s="2" t="s">
        <v>929</v>
      </c>
      <c r="L20" s="2" t="s">
        <v>928</v>
      </c>
      <c r="M20" s="2" t="s">
        <v>978</v>
      </c>
      <c r="N20" s="2" t="s">
        <v>10</v>
      </c>
      <c r="O20" s="2" t="s">
        <v>1135</v>
      </c>
      <c r="P20" s="2" t="s">
        <v>927</v>
      </c>
      <c r="Q20" s="2" t="s">
        <v>929</v>
      </c>
      <c r="R20" s="2" t="s">
        <v>1149</v>
      </c>
    </row>
    <row r="21" spans="1:18" ht="30" customHeight="1" x14ac:dyDescent="0.25">
      <c r="A21" s="2" t="s">
        <v>1132</v>
      </c>
      <c r="B21" s="2" t="s">
        <v>979</v>
      </c>
      <c r="C21" s="2" t="s">
        <v>974</v>
      </c>
      <c r="D21" s="2" t="s">
        <v>48</v>
      </c>
      <c r="E21" s="2" t="s">
        <v>980</v>
      </c>
      <c r="F21" s="2" t="s">
        <v>1133</v>
      </c>
      <c r="G21" s="2" t="s">
        <v>1134</v>
      </c>
      <c r="H21" s="2" t="s">
        <v>926</v>
      </c>
      <c r="I21" s="2" t="s">
        <v>98</v>
      </c>
      <c r="J21" s="7" t="s">
        <v>1130</v>
      </c>
      <c r="K21" s="2" t="s">
        <v>927</v>
      </c>
      <c r="L21" s="2" t="s">
        <v>981</v>
      </c>
      <c r="M21" s="2" t="s">
        <v>982</v>
      </c>
      <c r="N21" s="2" t="s">
        <v>10</v>
      </c>
      <c r="O21" s="2" t="s">
        <v>1137</v>
      </c>
      <c r="P21" s="2" t="s">
        <v>927</v>
      </c>
      <c r="Q21" s="2" t="s">
        <v>929</v>
      </c>
      <c r="R21" s="2" t="s">
        <v>1150</v>
      </c>
    </row>
    <row r="22" spans="1:18" ht="45" customHeight="1" x14ac:dyDescent="0.25">
      <c r="A22" s="2" t="s">
        <v>1132</v>
      </c>
      <c r="B22" s="2" t="s">
        <v>983</v>
      </c>
      <c r="C22" s="2" t="s">
        <v>971</v>
      </c>
      <c r="D22" s="2" t="s">
        <v>48</v>
      </c>
      <c r="E22" s="2" t="s">
        <v>984</v>
      </c>
      <c r="F22" s="2" t="s">
        <v>1133</v>
      </c>
      <c r="G22" s="2" t="s">
        <v>1134</v>
      </c>
      <c r="H22" s="2" t="s">
        <v>926</v>
      </c>
      <c r="I22" s="2" t="s">
        <v>98</v>
      </c>
      <c r="J22" s="7" t="s">
        <v>1130</v>
      </c>
      <c r="K22" s="2" t="s">
        <v>929</v>
      </c>
      <c r="L22" s="2" t="s">
        <v>985</v>
      </c>
      <c r="M22" s="2" t="s">
        <v>986</v>
      </c>
      <c r="N22" s="2" t="s">
        <v>10</v>
      </c>
      <c r="O22" s="2" t="s">
        <v>1137</v>
      </c>
      <c r="P22" s="2" t="s">
        <v>927</v>
      </c>
      <c r="Q22" s="2" t="s">
        <v>929</v>
      </c>
      <c r="R22" s="2" t="s">
        <v>1151</v>
      </c>
    </row>
  </sheetData>
  <conditionalFormatting sqref="G2:G22">
    <cfRule type="expression" dxfId="31" priority="1">
      <formula>$G2="Pass"</formula>
    </cfRule>
    <cfRule type="expression" dxfId="30" priority="2">
      <formula>$G2="Fail"</formula>
    </cfRule>
    <cfRule type="expression" dxfId="29" priority="3">
      <formula>$G2="Blocked"</formula>
    </cfRule>
    <cfRule type="expression" dxfId="28" priority="4">
      <formula>$G2="Deferred"</formula>
    </cfRule>
    <cfRule type="expression" dxfId="27" priority="5">
      <formula>$G2="Ready to Test"</formula>
    </cfRule>
    <cfRule type="expression" dxfId="26" priority="6">
      <formula>$G2="Pass with Known Issue"</formula>
    </cfRule>
    <cfRule type="expression" dxfId="25" priority="7">
      <formula>$G2="Not Built"</formula>
    </cfRule>
    <cfRule type="expression" dxfId="24" priority="8">
      <formula>$G2="N/A"</formula>
    </cfRule>
  </conditionalFormatting>
  <conditionalFormatting sqref="N2:N500">
    <cfRule type="expression" dxfId="23" priority="9">
      <formula>$N2="Pass"</formula>
    </cfRule>
    <cfRule type="expression" dxfId="22" priority="10">
      <formula>$N2="Fail"</formula>
    </cfRule>
    <cfRule type="expression" dxfId="21" priority="11">
      <formula>$N2="Blocked"</formula>
    </cfRule>
    <cfRule type="expression" dxfId="20" priority="12">
      <formula>$N2="Deferred"</formula>
    </cfRule>
    <cfRule type="expression" dxfId="19" priority="13">
      <formula>$N2="Ready to Test"</formula>
    </cfRule>
    <cfRule type="expression" dxfId="18" priority="14">
      <formula>$N2="Pass with Known Issue"</formula>
    </cfRule>
    <cfRule type="expression" dxfId="17" priority="15">
      <formula>$N2="Not Built"</formula>
    </cfRule>
    <cfRule type="expression" dxfId="16" priority="16">
      <formula>$N2="N/A"</formula>
    </cfRule>
  </conditionalFormatting>
  <dataValidations count="4">
    <dataValidation type="list" allowBlank="1" sqref="N2:N500" xr:uid="{00000000-0002-0000-0400-000000000000}">
      <formula1>"Not Built,Ready to Test,Pass,Fail,Blocked,Deferred,N/A,Pass with Known Issue"</formula1>
    </dataValidation>
    <dataValidation type="list" allowBlank="1" sqref="I2:I500" xr:uid="{00000000-0002-0000-0400-000002000000}">
      <formula1>"Preflight,Post-deployment,Both"</formula1>
    </dataValidation>
    <dataValidation type="list" allowBlank="1" sqref="K2:K500" xr:uid="{00000000-0002-0000-0400-000003000000}">
      <formula1>"Yes,No"</formula1>
    </dataValidation>
    <dataValidation type="list" allowBlank="1" sqref="P2:Q500" xr:uid="{00000000-0002-0000-0400-000004000000}">
      <formula1>"Yes,No,N/A"</formula1>
    </dataValidation>
  </dataValidations>
  <pageMargins left="0.75" right="0.75" top="1" bottom="1" header="0.5" footer="0.5"/>
  <pageSetup fitToHeight="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13"/>
  <sheetViews>
    <sheetView showGridLines="0" zoomScale="80" workbookViewId="0">
      <pane ySplit="1" topLeftCell="A2" activePane="bottomLeft" state="frozen"/>
      <selection pane="bottomLeft"/>
    </sheetView>
  </sheetViews>
  <sheetFormatPr defaultRowHeight="15" x14ac:dyDescent="0.25"/>
  <cols>
    <col min="1" max="1" width="16" customWidth="1"/>
    <col min="2" max="2" width="14" customWidth="1"/>
    <col min="3" max="3" width="8" customWidth="1"/>
    <col min="4" max="4" width="11" customWidth="1"/>
    <col min="5" max="6" width="38" customWidth="1"/>
    <col min="7" max="7" width="45" customWidth="1"/>
    <col min="8" max="8" width="68" customWidth="1"/>
    <col min="9" max="9" width="65" customWidth="1"/>
    <col min="10" max="10" width="20" customWidth="1"/>
    <col min="11" max="11" width="14" customWidth="1"/>
    <col min="12" max="12" width="18" customWidth="1"/>
    <col min="13" max="13" width="38" customWidth="1"/>
    <col min="14" max="14" width="48" customWidth="1"/>
    <col min="15" max="15" width="40" customWidth="1"/>
  </cols>
  <sheetData>
    <row r="1" spans="1:15" ht="33.950000000000003" customHeight="1" x14ac:dyDescent="0.25">
      <c r="A1" s="6" t="s">
        <v>79</v>
      </c>
      <c r="B1" s="6" t="s">
        <v>987</v>
      </c>
      <c r="C1" s="6" t="s">
        <v>45</v>
      </c>
      <c r="D1" s="6" t="s">
        <v>84</v>
      </c>
      <c r="E1" s="6" t="s">
        <v>988</v>
      </c>
      <c r="F1" s="6" t="s">
        <v>989</v>
      </c>
      <c r="G1" s="6" t="s">
        <v>86</v>
      </c>
      <c r="H1" s="6" t="s">
        <v>990</v>
      </c>
      <c r="I1" s="6" t="s">
        <v>88</v>
      </c>
      <c r="J1" s="6" t="s">
        <v>89</v>
      </c>
      <c r="K1" s="6" t="s">
        <v>90</v>
      </c>
      <c r="L1" s="6" t="s">
        <v>91</v>
      </c>
      <c r="M1" s="6" t="s">
        <v>92</v>
      </c>
      <c r="N1" s="6" t="s">
        <v>991</v>
      </c>
      <c r="O1" s="6" t="s">
        <v>47</v>
      </c>
    </row>
    <row r="2" spans="1:15" ht="90" customHeight="1" x14ac:dyDescent="0.25">
      <c r="A2" s="2" t="s">
        <v>1119</v>
      </c>
      <c r="B2" s="2" t="s">
        <v>992</v>
      </c>
      <c r="C2" s="2" t="s">
        <v>48</v>
      </c>
      <c r="D2" s="2" t="s">
        <v>98</v>
      </c>
      <c r="E2" s="2" t="s">
        <v>993</v>
      </c>
      <c r="F2" s="2" t="s">
        <v>994</v>
      </c>
      <c r="G2" s="2" t="s">
        <v>995</v>
      </c>
      <c r="H2" s="2" t="s">
        <v>996</v>
      </c>
      <c r="I2" s="2" t="s">
        <v>997</v>
      </c>
      <c r="J2" s="2" t="s">
        <v>10</v>
      </c>
      <c r="K2" s="7">
        <v>46323</v>
      </c>
      <c r="L2" s="2"/>
      <c r="M2" s="2" t="s">
        <v>1120</v>
      </c>
      <c r="N2" s="2"/>
      <c r="O2" s="2" t="s">
        <v>1128</v>
      </c>
    </row>
    <row r="3" spans="1:15" ht="105" customHeight="1" x14ac:dyDescent="0.25">
      <c r="A3" s="2"/>
      <c r="B3" s="2" t="s">
        <v>998</v>
      </c>
      <c r="C3" s="2" t="s">
        <v>50</v>
      </c>
      <c r="D3" s="2" t="s">
        <v>98</v>
      </c>
      <c r="E3" s="2" t="s">
        <v>999</v>
      </c>
      <c r="F3" s="2" t="s">
        <v>1000</v>
      </c>
      <c r="G3" s="2" t="s">
        <v>1001</v>
      </c>
      <c r="H3" s="2" t="s">
        <v>1002</v>
      </c>
      <c r="I3" s="2" t="s">
        <v>1003</v>
      </c>
      <c r="J3" s="2" t="s">
        <v>6</v>
      </c>
      <c r="K3" s="7"/>
      <c r="L3" s="2"/>
      <c r="M3" s="2"/>
      <c r="N3" s="2" t="s">
        <v>1004</v>
      </c>
      <c r="O3" s="2"/>
    </row>
    <row r="4" spans="1:15" ht="60" customHeight="1" x14ac:dyDescent="0.25">
      <c r="A4" s="2"/>
      <c r="B4" s="2" t="s">
        <v>1005</v>
      </c>
      <c r="C4" s="2" t="s">
        <v>50</v>
      </c>
      <c r="D4" s="2" t="s">
        <v>98</v>
      </c>
      <c r="E4" s="2" t="s">
        <v>1006</v>
      </c>
      <c r="F4" s="2" t="s">
        <v>1007</v>
      </c>
      <c r="G4" s="2" t="s">
        <v>1008</v>
      </c>
      <c r="H4" s="2" t="s">
        <v>1009</v>
      </c>
      <c r="I4" s="2" t="s">
        <v>1010</v>
      </c>
      <c r="J4" s="2" t="s">
        <v>6</v>
      </c>
      <c r="K4" s="7"/>
      <c r="L4" s="2"/>
      <c r="M4" s="2"/>
      <c r="N4" s="2" t="s">
        <v>1004</v>
      </c>
      <c r="O4" s="2"/>
    </row>
    <row r="5" spans="1:15" ht="90" customHeight="1" x14ac:dyDescent="0.25">
      <c r="A5" s="2"/>
      <c r="B5" s="2" t="s">
        <v>1011</v>
      </c>
      <c r="C5" s="2" t="s">
        <v>52</v>
      </c>
      <c r="D5" s="2" t="s">
        <v>98</v>
      </c>
      <c r="E5" s="2" t="s">
        <v>1012</v>
      </c>
      <c r="F5" s="2" t="s">
        <v>1013</v>
      </c>
      <c r="G5" s="2" t="s">
        <v>1014</v>
      </c>
      <c r="H5" s="2" t="s">
        <v>1015</v>
      </c>
      <c r="I5" s="2" t="s">
        <v>1016</v>
      </c>
      <c r="J5" s="2" t="s">
        <v>6</v>
      </c>
      <c r="K5" s="7"/>
      <c r="L5" s="2"/>
      <c r="M5" s="2"/>
      <c r="N5" s="2" t="s">
        <v>1004</v>
      </c>
      <c r="O5" s="2"/>
    </row>
    <row r="6" spans="1:15" ht="150" customHeight="1" x14ac:dyDescent="0.25">
      <c r="A6" s="2"/>
      <c r="B6" s="2" t="s">
        <v>1017</v>
      </c>
      <c r="C6" s="2" t="s">
        <v>52</v>
      </c>
      <c r="D6" s="2" t="s">
        <v>98</v>
      </c>
      <c r="E6" s="2" t="s">
        <v>1018</v>
      </c>
      <c r="F6" s="2" t="s">
        <v>1019</v>
      </c>
      <c r="G6" s="2" t="s">
        <v>1020</v>
      </c>
      <c r="H6" s="2" t="s">
        <v>1021</v>
      </c>
      <c r="I6" s="2" t="s">
        <v>1022</v>
      </c>
      <c r="J6" s="2" t="s">
        <v>6</v>
      </c>
      <c r="K6" s="7"/>
      <c r="L6" s="2"/>
      <c r="M6" s="2"/>
      <c r="N6" s="2" t="s">
        <v>1004</v>
      </c>
      <c r="O6" s="2"/>
    </row>
    <row r="7" spans="1:15" ht="60" customHeight="1" x14ac:dyDescent="0.25">
      <c r="A7" s="2"/>
      <c r="B7" s="2" t="s">
        <v>1023</v>
      </c>
      <c r="C7" s="2" t="s">
        <v>54</v>
      </c>
      <c r="D7" s="2" t="s">
        <v>98</v>
      </c>
      <c r="E7" s="2" t="s">
        <v>1024</v>
      </c>
      <c r="F7" s="2" t="s">
        <v>1025</v>
      </c>
      <c r="G7" s="2" t="s">
        <v>1026</v>
      </c>
      <c r="H7" s="2" t="s">
        <v>1027</v>
      </c>
      <c r="I7" s="2" t="s">
        <v>1028</v>
      </c>
      <c r="J7" s="2" t="s">
        <v>6</v>
      </c>
      <c r="K7" s="7"/>
      <c r="L7" s="2"/>
      <c r="M7" s="2"/>
      <c r="N7" s="2" t="s">
        <v>1004</v>
      </c>
      <c r="O7" s="2"/>
    </row>
    <row r="8" spans="1:15" ht="60" customHeight="1" x14ac:dyDescent="0.25">
      <c r="A8" s="2"/>
      <c r="B8" s="2" t="s">
        <v>1029</v>
      </c>
      <c r="C8" s="2" t="s">
        <v>54</v>
      </c>
      <c r="D8" s="2" t="s">
        <v>98</v>
      </c>
      <c r="E8" s="2" t="s">
        <v>1030</v>
      </c>
      <c r="F8" s="2" t="s">
        <v>1031</v>
      </c>
      <c r="G8" s="2" t="s">
        <v>1032</v>
      </c>
      <c r="H8" s="2" t="s">
        <v>1033</v>
      </c>
      <c r="I8" s="2" t="s">
        <v>1034</v>
      </c>
      <c r="J8" s="2" t="s">
        <v>6</v>
      </c>
      <c r="K8" s="7"/>
      <c r="L8" s="2"/>
      <c r="M8" s="2"/>
      <c r="N8" s="2" t="s">
        <v>1004</v>
      </c>
      <c r="O8" s="2"/>
    </row>
    <row r="9" spans="1:15" ht="60" customHeight="1" x14ac:dyDescent="0.25">
      <c r="A9" s="2"/>
      <c r="B9" s="2" t="s">
        <v>1035</v>
      </c>
      <c r="C9" s="2" t="s">
        <v>54</v>
      </c>
      <c r="D9" s="2" t="s">
        <v>98</v>
      </c>
      <c r="E9" s="2" t="s">
        <v>1036</v>
      </c>
      <c r="F9" s="2" t="s">
        <v>1037</v>
      </c>
      <c r="G9" s="2" t="s">
        <v>1038</v>
      </c>
      <c r="H9" s="2" t="s">
        <v>1039</v>
      </c>
      <c r="I9" s="2" t="s">
        <v>1040</v>
      </c>
      <c r="J9" s="2" t="s">
        <v>6</v>
      </c>
      <c r="K9" s="7"/>
      <c r="L9" s="2"/>
      <c r="M9" s="2"/>
      <c r="N9" s="2" t="s">
        <v>1004</v>
      </c>
      <c r="O9" s="2"/>
    </row>
    <row r="10" spans="1:15" ht="60" customHeight="1" x14ac:dyDescent="0.25">
      <c r="A10" s="2"/>
      <c r="B10" s="2" t="s">
        <v>1041</v>
      </c>
      <c r="C10" s="2" t="s">
        <v>54</v>
      </c>
      <c r="D10" s="2" t="s">
        <v>98</v>
      </c>
      <c r="E10" s="2" t="s">
        <v>1042</v>
      </c>
      <c r="F10" s="2" t="s">
        <v>1043</v>
      </c>
      <c r="G10" s="2" t="s">
        <v>1044</v>
      </c>
      <c r="H10" s="2" t="s">
        <v>1045</v>
      </c>
      <c r="I10" s="2" t="s">
        <v>1046</v>
      </c>
      <c r="J10" s="2" t="s">
        <v>6</v>
      </c>
      <c r="K10" s="7"/>
      <c r="L10" s="2"/>
      <c r="M10" s="2"/>
      <c r="N10" s="2" t="s">
        <v>1047</v>
      </c>
      <c r="O10" s="2"/>
    </row>
    <row r="11" spans="1:15" ht="45" customHeight="1" x14ac:dyDescent="0.25">
      <c r="A11" s="2"/>
      <c r="B11" s="2" t="s">
        <v>1048</v>
      </c>
      <c r="C11" s="2" t="s">
        <v>54</v>
      </c>
      <c r="D11" s="2" t="s">
        <v>98</v>
      </c>
      <c r="E11" s="2" t="s">
        <v>1049</v>
      </c>
      <c r="F11" s="2" t="s">
        <v>758</v>
      </c>
      <c r="G11" s="2" t="s">
        <v>1044</v>
      </c>
      <c r="H11" s="2" t="s">
        <v>1050</v>
      </c>
      <c r="I11" s="2" t="s">
        <v>1051</v>
      </c>
      <c r="J11" s="2" t="s">
        <v>6</v>
      </c>
      <c r="K11" s="7"/>
      <c r="L11" s="2"/>
      <c r="M11" s="2"/>
      <c r="N11" s="2" t="s">
        <v>1004</v>
      </c>
      <c r="O11" s="2"/>
    </row>
    <row r="12" spans="1:15" ht="75" customHeight="1" x14ac:dyDescent="0.25">
      <c r="A12" s="2"/>
      <c r="B12" s="2" t="s">
        <v>1052</v>
      </c>
      <c r="C12" s="2" t="s">
        <v>50</v>
      </c>
      <c r="D12" s="2" t="s">
        <v>98</v>
      </c>
      <c r="E12" s="2" t="s">
        <v>1053</v>
      </c>
      <c r="F12" s="2" t="s">
        <v>1054</v>
      </c>
      <c r="G12" s="2" t="s">
        <v>1055</v>
      </c>
      <c r="H12" s="2" t="s">
        <v>1056</v>
      </c>
      <c r="I12" s="2" t="s">
        <v>1057</v>
      </c>
      <c r="J12" s="2" t="s">
        <v>6</v>
      </c>
      <c r="K12" s="7"/>
      <c r="L12" s="2"/>
      <c r="M12" s="2"/>
      <c r="N12" s="2"/>
      <c r="O12" s="2" t="s">
        <v>1058</v>
      </c>
    </row>
    <row r="13" spans="1:15" ht="105" customHeight="1" x14ac:dyDescent="0.25">
      <c r="A13" s="2"/>
      <c r="B13" s="2" t="s">
        <v>1059</v>
      </c>
      <c r="C13" s="2" t="s">
        <v>52</v>
      </c>
      <c r="D13" s="2" t="s">
        <v>98</v>
      </c>
      <c r="E13" s="2" t="s">
        <v>1060</v>
      </c>
      <c r="F13" s="2" t="s">
        <v>1061</v>
      </c>
      <c r="G13" s="2" t="s">
        <v>1062</v>
      </c>
      <c r="H13" s="2" t="s">
        <v>1063</v>
      </c>
      <c r="I13" s="2" t="s">
        <v>1064</v>
      </c>
      <c r="J13" s="2" t="s">
        <v>6</v>
      </c>
      <c r="K13" s="7"/>
      <c r="L13" s="2"/>
      <c r="M13" s="2"/>
      <c r="N13" s="2"/>
      <c r="O13" s="2" t="s">
        <v>1065</v>
      </c>
    </row>
  </sheetData>
  <conditionalFormatting sqref="H2:H10">
    <cfRule type="expression" dxfId="15" priority="1">
      <formula>$H2="Pass"</formula>
    </cfRule>
    <cfRule type="expression" dxfId="14" priority="2">
      <formula>$H2="Fail"</formula>
    </cfRule>
    <cfRule type="expression" dxfId="13" priority="3">
      <formula>$H2="Blocked"</formula>
    </cfRule>
    <cfRule type="expression" dxfId="12" priority="4">
      <formula>$H2="Deferred"</formula>
    </cfRule>
    <cfRule type="expression" dxfId="11" priority="5">
      <formula>$H2="Ready to Test"</formula>
    </cfRule>
    <cfRule type="expression" dxfId="10" priority="6">
      <formula>$H2="Pass with Known Issue"</formula>
    </cfRule>
    <cfRule type="expression" dxfId="9" priority="7">
      <formula>$H2="Not Built"</formula>
    </cfRule>
    <cfRule type="expression" dxfId="8" priority="8">
      <formula>$H2="N/A"</formula>
    </cfRule>
  </conditionalFormatting>
  <conditionalFormatting sqref="J2:J500">
    <cfRule type="expression" dxfId="7" priority="9">
      <formula>$J2="Pass"</formula>
    </cfRule>
    <cfRule type="expression" dxfId="6" priority="10">
      <formula>$J2="Fail"</formula>
    </cfRule>
    <cfRule type="expression" dxfId="5" priority="11">
      <formula>$J2="Blocked"</formula>
    </cfRule>
    <cfRule type="expression" dxfId="4" priority="12">
      <formula>$J2="Deferred"</formula>
    </cfRule>
    <cfRule type="expression" dxfId="3" priority="13">
      <formula>$J2="Ready to Test"</formula>
    </cfRule>
    <cfRule type="expression" dxfId="2" priority="14">
      <formula>$J2="Pass with Known Issue"</formula>
    </cfRule>
    <cfRule type="expression" dxfId="1" priority="15">
      <formula>$J2="Not Built"</formula>
    </cfRule>
    <cfRule type="expression" dxfId="0" priority="16">
      <formula>$J2="N/A"</formula>
    </cfRule>
  </conditionalFormatting>
  <dataValidations count="1">
    <dataValidation type="list" allowBlank="1" sqref="J2:J500" xr:uid="{00000000-0002-0000-0500-000000000000}">
      <formula1>"Not Built,Ready to Test,Pass,Fail,Blocked,Deferred,N/A,Pass with Known Issue"</formula1>
    </dataValidation>
  </dataValidations>
  <pageMargins left="0.75" right="0.75" top="1" bottom="1" header="0.5" footer="0.5"/>
  <pageSetup fitToHeight="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223"/>
  <sheetViews>
    <sheetView showGridLines="0" zoomScale="80" workbookViewId="0">
      <pane ySplit="1" topLeftCell="A2" activePane="bottomLeft" state="frozen"/>
      <selection pane="bottomLeft"/>
    </sheetView>
  </sheetViews>
  <sheetFormatPr defaultRowHeight="15" x14ac:dyDescent="0.25"/>
  <cols>
    <col min="1" max="1" width="20" customWidth="1"/>
    <col min="2" max="2" width="8" customWidth="1"/>
    <col min="3" max="3" width="25" customWidth="1"/>
    <col min="4" max="4" width="10" customWidth="1"/>
    <col min="5" max="5" width="11" customWidth="1"/>
    <col min="6" max="6" width="70" customWidth="1"/>
    <col min="7" max="7" width="24" customWidth="1"/>
    <col min="8" max="8" width="30" customWidth="1"/>
    <col min="9" max="9" width="28" customWidth="1"/>
    <col min="10" max="10" width="20" customWidth="1"/>
    <col min="11" max="11" width="15" customWidth="1"/>
    <col min="12" max="12" width="18" customWidth="1"/>
    <col min="13" max="13" width="38" customWidth="1"/>
    <col min="14" max="14" width="22" customWidth="1"/>
    <col min="15" max="15" width="36" customWidth="1"/>
  </cols>
  <sheetData>
    <row r="1" spans="1:15" ht="33.950000000000003" customHeight="1" x14ac:dyDescent="0.25">
      <c r="A1" s="6" t="s">
        <v>81</v>
      </c>
      <c r="B1" s="6" t="s">
        <v>45</v>
      </c>
      <c r="C1" s="6" t="s">
        <v>82</v>
      </c>
      <c r="D1" s="6" t="s">
        <v>83</v>
      </c>
      <c r="E1" s="6" t="s">
        <v>84</v>
      </c>
      <c r="F1" s="6" t="s">
        <v>1066</v>
      </c>
      <c r="G1" s="6" t="s">
        <v>1067</v>
      </c>
      <c r="H1" s="6" t="s">
        <v>1068</v>
      </c>
      <c r="I1" s="6" t="s">
        <v>1069</v>
      </c>
      <c r="J1" s="6" t="s">
        <v>1070</v>
      </c>
      <c r="K1" s="6" t="s">
        <v>1071</v>
      </c>
      <c r="L1" s="6" t="s">
        <v>91</v>
      </c>
      <c r="M1" s="6" t="s">
        <v>1072</v>
      </c>
      <c r="N1" s="6" t="s">
        <v>1073</v>
      </c>
      <c r="O1" s="6" t="s">
        <v>47</v>
      </c>
    </row>
    <row r="2" spans="1:15" ht="30" customHeight="1" x14ac:dyDescent="0.25">
      <c r="A2" s="2" t="s">
        <v>813</v>
      </c>
      <c r="B2" s="2" t="s">
        <v>48</v>
      </c>
      <c r="C2" s="2" t="s">
        <v>814</v>
      </c>
      <c r="D2" s="2" t="s">
        <v>815</v>
      </c>
      <c r="E2" s="2" t="s">
        <v>98</v>
      </c>
      <c r="F2" s="2" t="s">
        <v>821</v>
      </c>
      <c r="G2" s="2" t="s">
        <v>1074</v>
      </c>
      <c r="H2" s="2" t="s">
        <v>43</v>
      </c>
      <c r="I2" s="2" t="s">
        <v>812</v>
      </c>
      <c r="J2" s="2" t="str">
        <f>IFERROR(INDEX('Security Acceptance'!$N:$N,MATCH($I2,'Security Acceptance'!$B:$B,0)),"")</f>
        <v>Pass</v>
      </c>
      <c r="K2" s="7">
        <f>IFERROR(INDEX('Security Acceptance'!$O:$O,MATCH($I2,'Security Acceptance'!$B:$B,0)),"")</f>
        <v>46323</v>
      </c>
      <c r="L2" s="2">
        <f>IFERROR(INDEX('Security Acceptance'!$P:$P,MATCH($I2,'Security Acceptance'!$B:$B,0)),"")</f>
        <v>0</v>
      </c>
      <c r="M2" s="2" t="str">
        <f>IFERROR(INDEX('Security Acceptance'!$Q:$Q,MATCH($I2,'Security Acceptance'!$B:$B,0)),"")</f>
        <v>spec/meals/README.md#phase-0a-technical-evidence; web release validation: spec/meals/README.md#web-release-validation</v>
      </c>
      <c r="N2" s="2" t="s">
        <v>1075</v>
      </c>
      <c r="O2" s="2"/>
    </row>
    <row r="3" spans="1:15" ht="30" customHeight="1" x14ac:dyDescent="0.25">
      <c r="A3" s="2" t="s">
        <v>823</v>
      </c>
      <c r="B3" s="2" t="s">
        <v>48</v>
      </c>
      <c r="C3" s="2" t="s">
        <v>814</v>
      </c>
      <c r="D3" s="2" t="s">
        <v>815</v>
      </c>
      <c r="E3" s="2" t="s">
        <v>98</v>
      </c>
      <c r="F3" s="2" t="s">
        <v>826</v>
      </c>
      <c r="G3" s="2" t="s">
        <v>1074</v>
      </c>
      <c r="H3" s="2" t="s">
        <v>43</v>
      </c>
      <c r="I3" s="2" t="s">
        <v>822</v>
      </c>
      <c r="J3" s="2" t="str">
        <f>IFERROR(INDEX('Security Acceptance'!$N:$N,MATCH($I3,'Security Acceptance'!$B:$B,0)),"")</f>
        <v>Not Built</v>
      </c>
      <c r="K3" s="7">
        <f>IFERROR(INDEX('Security Acceptance'!$O:$O,MATCH($I3,'Security Acceptance'!$B:$B,0)),"")</f>
        <v>0</v>
      </c>
      <c r="L3" s="2">
        <f>IFERROR(INDEX('Security Acceptance'!$P:$P,MATCH($I3,'Security Acceptance'!$B:$B,0)),"")</f>
        <v>0</v>
      </c>
      <c r="M3" s="2">
        <f>IFERROR(INDEX('Security Acceptance'!$Q:$Q,MATCH($I3,'Security Acceptance'!$B:$B,0)),"")</f>
        <v>0</v>
      </c>
      <c r="N3" s="2" t="s">
        <v>1075</v>
      </c>
      <c r="O3" s="2"/>
    </row>
    <row r="4" spans="1:15" ht="30" customHeight="1" x14ac:dyDescent="0.25">
      <c r="A4" s="2" t="s">
        <v>828</v>
      </c>
      <c r="B4" s="2" t="s">
        <v>48</v>
      </c>
      <c r="C4" s="2" t="s">
        <v>814</v>
      </c>
      <c r="D4" s="2" t="s">
        <v>815</v>
      </c>
      <c r="E4" s="2" t="s">
        <v>98</v>
      </c>
      <c r="F4" s="2" t="s">
        <v>831</v>
      </c>
      <c r="G4" s="2" t="s">
        <v>1074</v>
      </c>
      <c r="H4" s="2" t="s">
        <v>43</v>
      </c>
      <c r="I4" s="2" t="s">
        <v>827</v>
      </c>
      <c r="J4" s="2" t="str">
        <f>IFERROR(INDEX('Security Acceptance'!$N:$N,MATCH($I4,'Security Acceptance'!$B:$B,0)),"")</f>
        <v>Pass</v>
      </c>
      <c r="K4" s="7" t="str">
        <f>IFERROR(INDEX('Security Acceptance'!$O:$O,MATCH($I4,'Security Acceptance'!$B:$B,0)),"")</f>
        <v>2026-10-28</v>
      </c>
      <c r="L4" s="2">
        <f>IFERROR(INDEX('Security Acceptance'!$P:$P,MATCH($I4,'Security Acceptance'!$B:$B,0)),"")</f>
        <v>0</v>
      </c>
      <c r="M4" s="2" t="str">
        <f>IFERROR(INDEX('Security Acceptance'!$Q:$Q,MATCH($I4,'Security Acceptance'!$B:$B,0)),"")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4" s="2" t="s">
        <v>1075</v>
      </c>
      <c r="O4" s="2"/>
    </row>
    <row r="5" spans="1:15" ht="30" customHeight="1" x14ac:dyDescent="0.25">
      <c r="A5" s="2" t="s">
        <v>833</v>
      </c>
      <c r="B5" s="2" t="s">
        <v>48</v>
      </c>
      <c r="C5" s="2" t="s">
        <v>814</v>
      </c>
      <c r="D5" s="2" t="s">
        <v>815</v>
      </c>
      <c r="E5" s="2" t="s">
        <v>98</v>
      </c>
      <c r="F5" s="2" t="s">
        <v>835</v>
      </c>
      <c r="G5" s="2" t="s">
        <v>1074</v>
      </c>
      <c r="H5" s="2" t="s">
        <v>43</v>
      </c>
      <c r="I5" s="2" t="s">
        <v>832</v>
      </c>
      <c r="J5" s="2" t="str">
        <f>IFERROR(INDEX('Security Acceptance'!$N:$N,MATCH($I5,'Security Acceptance'!$B:$B,0)),"")</f>
        <v>Not Built</v>
      </c>
      <c r="K5" s="7">
        <f>IFERROR(INDEX('Security Acceptance'!$O:$O,MATCH($I5,'Security Acceptance'!$B:$B,0)),"")</f>
        <v>0</v>
      </c>
      <c r="L5" s="2">
        <f>IFERROR(INDEX('Security Acceptance'!$P:$P,MATCH($I5,'Security Acceptance'!$B:$B,0)),"")</f>
        <v>0</v>
      </c>
      <c r="M5" s="2">
        <f>IFERROR(INDEX('Security Acceptance'!$Q:$Q,MATCH($I5,'Security Acceptance'!$B:$B,0)),"")</f>
        <v>0</v>
      </c>
      <c r="N5" s="2" t="s">
        <v>1075</v>
      </c>
      <c r="O5" s="2"/>
    </row>
    <row r="6" spans="1:15" ht="30" customHeight="1" x14ac:dyDescent="0.25">
      <c r="A6" s="2" t="s">
        <v>837</v>
      </c>
      <c r="B6" s="2" t="s">
        <v>48</v>
      </c>
      <c r="C6" s="2" t="s">
        <v>814</v>
      </c>
      <c r="D6" s="2" t="s">
        <v>815</v>
      </c>
      <c r="E6" s="2" t="s">
        <v>98</v>
      </c>
      <c r="F6" s="2" t="s">
        <v>839</v>
      </c>
      <c r="G6" s="2" t="s">
        <v>1074</v>
      </c>
      <c r="H6" s="2" t="s">
        <v>43</v>
      </c>
      <c r="I6" s="2" t="s">
        <v>836</v>
      </c>
      <c r="J6" s="2" t="str">
        <f>IFERROR(INDEX('Security Acceptance'!$N:$N,MATCH($I6,'Security Acceptance'!$B:$B,0)),"")</f>
        <v>Not Built</v>
      </c>
      <c r="K6" s="7">
        <f>IFERROR(INDEX('Security Acceptance'!$O:$O,MATCH($I6,'Security Acceptance'!$B:$B,0)),"")</f>
        <v>0</v>
      </c>
      <c r="L6" s="2">
        <f>IFERROR(INDEX('Security Acceptance'!$P:$P,MATCH($I6,'Security Acceptance'!$B:$B,0)),"")</f>
        <v>0</v>
      </c>
      <c r="M6" s="2">
        <f>IFERROR(INDEX('Security Acceptance'!$Q:$Q,MATCH($I6,'Security Acceptance'!$B:$B,0)),"")</f>
        <v>0</v>
      </c>
      <c r="N6" s="2" t="s">
        <v>1075</v>
      </c>
      <c r="O6" s="2"/>
    </row>
    <row r="7" spans="1:15" ht="15" customHeight="1" x14ac:dyDescent="0.25">
      <c r="A7" s="2" t="s">
        <v>841</v>
      </c>
      <c r="B7" s="2" t="s">
        <v>48</v>
      </c>
      <c r="C7" s="2" t="s">
        <v>814</v>
      </c>
      <c r="D7" s="2" t="s">
        <v>815</v>
      </c>
      <c r="E7" s="2" t="s">
        <v>98</v>
      </c>
      <c r="F7" s="2" t="s">
        <v>844</v>
      </c>
      <c r="G7" s="2" t="s">
        <v>1074</v>
      </c>
      <c r="H7" s="2" t="s">
        <v>43</v>
      </c>
      <c r="I7" s="2" t="s">
        <v>840</v>
      </c>
      <c r="J7" s="2" t="str">
        <f>IFERROR(INDEX('Security Acceptance'!$N:$N,MATCH($I7,'Security Acceptance'!$B:$B,0)),"")</f>
        <v>Pass</v>
      </c>
      <c r="K7" s="7">
        <f>IFERROR(INDEX('Security Acceptance'!$O:$O,MATCH($I7,'Security Acceptance'!$B:$B,0)),"")</f>
        <v>46323</v>
      </c>
      <c r="L7" s="2">
        <f>IFERROR(INDEX('Security Acceptance'!$P:$P,MATCH($I7,'Security Acceptance'!$B:$B,0)),"")</f>
        <v>0</v>
      </c>
      <c r="M7" s="2" t="str">
        <f>IFERROR(INDEX('Security Acceptance'!$Q:$Q,MATCH($I7,'Security Acceptance'!$B:$B,0)),"")</f>
        <v>spec/meals/README.md#phase-0a-technical-evidence; web release validation: spec/meals/README.md#web-release-validation</v>
      </c>
      <c r="N7" s="2" t="s">
        <v>1075</v>
      </c>
      <c r="O7" s="2"/>
    </row>
    <row r="8" spans="1:15" ht="45" customHeight="1" x14ac:dyDescent="0.25">
      <c r="A8" s="2" t="s">
        <v>846</v>
      </c>
      <c r="B8" s="2" t="s">
        <v>48</v>
      </c>
      <c r="C8" s="2" t="s">
        <v>814</v>
      </c>
      <c r="D8" s="2" t="s">
        <v>815</v>
      </c>
      <c r="E8" s="2" t="s">
        <v>98</v>
      </c>
      <c r="F8" s="2" t="s">
        <v>848</v>
      </c>
      <c r="G8" s="2" t="s">
        <v>1074</v>
      </c>
      <c r="H8" s="2" t="s">
        <v>43</v>
      </c>
      <c r="I8" s="2" t="s">
        <v>845</v>
      </c>
      <c r="J8" s="2" t="str">
        <f>IFERROR(INDEX('Security Acceptance'!$N:$N,MATCH($I8,'Security Acceptance'!$B:$B,0)),"")</f>
        <v>Pass</v>
      </c>
      <c r="K8" s="7">
        <f>IFERROR(INDEX('Security Acceptance'!$O:$O,MATCH($I8,'Security Acceptance'!$B:$B,0)),"")</f>
        <v>46323</v>
      </c>
      <c r="L8" s="2">
        <f>IFERROR(INDEX('Security Acceptance'!$P:$P,MATCH($I8,'Security Acceptance'!$B:$B,0)),"")</f>
        <v>0</v>
      </c>
      <c r="M8" s="2" t="str">
        <f>IFERROR(INDEX('Security Acceptance'!$Q:$Q,MATCH($I8,'Security Acceptance'!$B:$B,0)),"")</f>
        <v>spec/meals/README.md#phase-0a-technical-evidence; web release validation: spec/meals/README.md#web-release-validation</v>
      </c>
      <c r="N8" s="2" t="s">
        <v>1075</v>
      </c>
      <c r="O8" s="2"/>
    </row>
    <row r="9" spans="1:15" ht="45" customHeight="1" x14ac:dyDescent="0.25">
      <c r="A9" s="2" t="s">
        <v>850</v>
      </c>
      <c r="B9" s="2" t="s">
        <v>48</v>
      </c>
      <c r="C9" s="2" t="s">
        <v>814</v>
      </c>
      <c r="D9" s="2" t="s">
        <v>815</v>
      </c>
      <c r="E9" s="2" t="s">
        <v>98</v>
      </c>
      <c r="F9" s="2" t="s">
        <v>852</v>
      </c>
      <c r="G9" s="2" t="s">
        <v>1074</v>
      </c>
      <c r="H9" s="2" t="s">
        <v>43</v>
      </c>
      <c r="I9" s="2" t="s">
        <v>849</v>
      </c>
      <c r="J9" s="2" t="str">
        <f>IFERROR(INDEX('Security Acceptance'!$N:$N,MATCH($I9,'Security Acceptance'!$B:$B,0)),"")</f>
        <v>Pass</v>
      </c>
      <c r="K9" s="7">
        <f>IFERROR(INDEX('Security Acceptance'!$O:$O,MATCH($I9,'Security Acceptance'!$B:$B,0)),"")</f>
        <v>46323</v>
      </c>
      <c r="L9" s="2">
        <f>IFERROR(INDEX('Security Acceptance'!$P:$P,MATCH($I9,'Security Acceptance'!$B:$B,0)),"")</f>
        <v>0</v>
      </c>
      <c r="M9" s="2" t="str">
        <f>IFERROR(INDEX('Security Acceptance'!$Q:$Q,MATCH($I9,'Security Acceptance'!$B:$B,0)),"")</f>
        <v>spec/meals/README.md#phase-0a-technical-evidence; web release validation: spec/meals/README.md#web-release-validation</v>
      </c>
      <c r="N9" s="2" t="s">
        <v>1075</v>
      </c>
      <c r="O9" s="2"/>
    </row>
    <row r="10" spans="1:15" ht="30" customHeight="1" x14ac:dyDescent="0.25">
      <c r="A10" s="2" t="s">
        <v>854</v>
      </c>
      <c r="B10" s="2" t="s">
        <v>48</v>
      </c>
      <c r="C10" s="2" t="s">
        <v>814</v>
      </c>
      <c r="D10" s="2" t="s">
        <v>815</v>
      </c>
      <c r="E10" s="2" t="s">
        <v>98</v>
      </c>
      <c r="F10" s="2" t="s">
        <v>856</v>
      </c>
      <c r="G10" s="2" t="s">
        <v>1074</v>
      </c>
      <c r="H10" s="2" t="s">
        <v>43</v>
      </c>
      <c r="I10" s="2" t="s">
        <v>853</v>
      </c>
      <c r="J10" s="2" t="str">
        <f>IFERROR(INDEX('Security Acceptance'!$N:$N,MATCH($I10,'Security Acceptance'!$B:$B,0)),"")</f>
        <v>Pass</v>
      </c>
      <c r="K10" s="7" t="str">
        <f>IFERROR(INDEX('Security Acceptance'!$O:$O,MATCH($I10,'Security Acceptance'!$B:$B,0)),"")</f>
        <v>2026-10-28</v>
      </c>
      <c r="L10" s="2">
        <f>IFERROR(INDEX('Security Acceptance'!$P:$P,MATCH($I10,'Security Acceptance'!$B:$B,0)),"")</f>
        <v>0</v>
      </c>
      <c r="M10" s="2" t="str">
        <f>IFERROR(INDEX('Security Acceptance'!$Q:$Q,MATCH($I10,'Security Acceptance'!$B:$B,0)),"")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0" s="2" t="s">
        <v>1075</v>
      </c>
      <c r="O10" s="2"/>
    </row>
    <row r="11" spans="1:15" ht="30" customHeight="1" x14ac:dyDescent="0.25">
      <c r="A11" s="2" t="s">
        <v>932</v>
      </c>
      <c r="B11" s="2" t="s">
        <v>48</v>
      </c>
      <c r="C11" s="2" t="s">
        <v>814</v>
      </c>
      <c r="D11" s="2" t="s">
        <v>815</v>
      </c>
      <c r="E11" s="2" t="s">
        <v>98</v>
      </c>
      <c r="F11" s="2" t="s">
        <v>933</v>
      </c>
      <c r="G11" s="2" t="s">
        <v>1076</v>
      </c>
      <c r="H11" s="2" t="s">
        <v>44</v>
      </c>
      <c r="I11" s="2" t="s">
        <v>931</v>
      </c>
      <c r="J11" s="2" t="str">
        <f>IFERROR(INDEX('Database Verification'!$N:$N,MATCH($I11,'Database Verification'!$B:$B,0)),"")</f>
        <v>Not Built</v>
      </c>
      <c r="K11" s="7">
        <f>IFERROR(INDEX('Database Verification'!$J:$J,MATCH($I11,'Database Verification'!$B:$B,0)),"")</f>
        <v>0</v>
      </c>
      <c r="L11" s="2"/>
      <c r="M11" s="2">
        <f>IFERROR(INDEX('Database Verification'!$O:$O,MATCH($I11,'Database Verification'!$B:$B,0)),"")</f>
        <v>0</v>
      </c>
      <c r="N11" s="2" t="s">
        <v>1075</v>
      </c>
      <c r="O11" s="2"/>
    </row>
    <row r="12" spans="1:15" ht="45" customHeight="1" x14ac:dyDescent="0.25">
      <c r="A12" s="2" t="s">
        <v>1077</v>
      </c>
      <c r="B12" s="2" t="s">
        <v>54</v>
      </c>
      <c r="C12" s="2" t="s">
        <v>814</v>
      </c>
      <c r="D12" s="2" t="s">
        <v>815</v>
      </c>
      <c r="E12" s="2" t="s">
        <v>98</v>
      </c>
      <c r="F12" s="2" t="s">
        <v>1078</v>
      </c>
      <c r="G12" s="2" t="s">
        <v>1079</v>
      </c>
      <c r="H12" s="2" t="s">
        <v>1080</v>
      </c>
      <c r="I12" s="2"/>
      <c r="J12" s="2"/>
      <c r="K12" s="7"/>
      <c r="L12" s="2"/>
      <c r="M12" s="2"/>
      <c r="N12" s="2" t="s">
        <v>1081</v>
      </c>
      <c r="O12" s="2"/>
    </row>
    <row r="13" spans="1:15" ht="30" customHeight="1" x14ac:dyDescent="0.25">
      <c r="A13" s="2" t="s">
        <v>858</v>
      </c>
      <c r="B13" s="2" t="s">
        <v>48</v>
      </c>
      <c r="C13" s="2" t="s">
        <v>814</v>
      </c>
      <c r="D13" s="2" t="s">
        <v>815</v>
      </c>
      <c r="E13" s="2" t="s">
        <v>98</v>
      </c>
      <c r="F13" s="2" t="s">
        <v>860</v>
      </c>
      <c r="G13" s="2" t="s">
        <v>1074</v>
      </c>
      <c r="H13" s="2" t="s">
        <v>43</v>
      </c>
      <c r="I13" s="2" t="s">
        <v>857</v>
      </c>
      <c r="J13" s="2" t="str">
        <f>IFERROR(INDEX('Security Acceptance'!$N:$N,MATCH($I13,'Security Acceptance'!$B:$B,0)),"")</f>
        <v>Not Built</v>
      </c>
      <c r="K13" s="7">
        <f>IFERROR(INDEX('Security Acceptance'!$O:$O,MATCH($I13,'Security Acceptance'!$B:$B,0)),"")</f>
        <v>0</v>
      </c>
      <c r="L13" s="2">
        <f>IFERROR(INDEX('Security Acceptance'!$P:$P,MATCH($I13,'Security Acceptance'!$B:$B,0)),"")</f>
        <v>0</v>
      </c>
      <c r="M13" s="2">
        <f>IFERROR(INDEX('Security Acceptance'!$Q:$Q,MATCH($I13,'Security Acceptance'!$B:$B,0)),"")</f>
        <v>0</v>
      </c>
      <c r="N13" s="2" t="s">
        <v>1075</v>
      </c>
      <c r="O13" s="2"/>
    </row>
    <row r="14" spans="1:15" ht="30" customHeight="1" x14ac:dyDescent="0.25">
      <c r="A14" s="2" t="s">
        <v>862</v>
      </c>
      <c r="B14" s="2" t="s">
        <v>48</v>
      </c>
      <c r="C14" s="2" t="s">
        <v>814</v>
      </c>
      <c r="D14" s="2" t="s">
        <v>815</v>
      </c>
      <c r="E14" s="2" t="s">
        <v>98</v>
      </c>
      <c r="F14" s="2" t="s">
        <v>864</v>
      </c>
      <c r="G14" s="2" t="s">
        <v>1074</v>
      </c>
      <c r="H14" s="2" t="s">
        <v>43</v>
      </c>
      <c r="I14" s="2" t="s">
        <v>861</v>
      </c>
      <c r="J14" s="2" t="str">
        <f>IFERROR(INDEX('Security Acceptance'!$N:$N,MATCH($I14,'Security Acceptance'!$B:$B,0)),"")</f>
        <v>Not Built</v>
      </c>
      <c r="K14" s="7">
        <f>IFERROR(INDEX('Security Acceptance'!$O:$O,MATCH($I14,'Security Acceptance'!$B:$B,0)),"")</f>
        <v>0</v>
      </c>
      <c r="L14" s="2">
        <f>IFERROR(INDEX('Security Acceptance'!$P:$P,MATCH($I14,'Security Acceptance'!$B:$B,0)),"")</f>
        <v>0</v>
      </c>
      <c r="M14" s="2">
        <f>IFERROR(INDEX('Security Acceptance'!$Q:$Q,MATCH($I14,'Security Acceptance'!$B:$B,0)),"")</f>
        <v>0</v>
      </c>
      <c r="N14" s="2" t="s">
        <v>1075</v>
      </c>
      <c r="O14" s="2"/>
    </row>
    <row r="15" spans="1:15" ht="45" customHeight="1" x14ac:dyDescent="0.25">
      <c r="A15" s="2" t="s">
        <v>866</v>
      </c>
      <c r="B15" s="2" t="s">
        <v>48</v>
      </c>
      <c r="C15" s="2" t="s">
        <v>814</v>
      </c>
      <c r="D15" s="2" t="s">
        <v>815</v>
      </c>
      <c r="E15" s="2" t="s">
        <v>98</v>
      </c>
      <c r="F15" s="2" t="s">
        <v>868</v>
      </c>
      <c r="G15" s="2" t="s">
        <v>1074</v>
      </c>
      <c r="H15" s="2" t="s">
        <v>43</v>
      </c>
      <c r="I15" s="2" t="s">
        <v>865</v>
      </c>
      <c r="J15" s="2" t="str">
        <f>IFERROR(INDEX('Security Acceptance'!$N:$N,MATCH($I15,'Security Acceptance'!$B:$B,0)),"")</f>
        <v>Not Built</v>
      </c>
      <c r="K15" s="7">
        <f>IFERROR(INDEX('Security Acceptance'!$O:$O,MATCH($I15,'Security Acceptance'!$B:$B,0)),"")</f>
        <v>0</v>
      </c>
      <c r="L15" s="2">
        <f>IFERROR(INDEX('Security Acceptance'!$P:$P,MATCH($I15,'Security Acceptance'!$B:$B,0)),"")</f>
        <v>0</v>
      </c>
      <c r="M15" s="2">
        <f>IFERROR(INDEX('Security Acceptance'!$Q:$Q,MATCH($I15,'Security Acceptance'!$B:$B,0)),"")</f>
        <v>0</v>
      </c>
      <c r="N15" s="2" t="s">
        <v>1075</v>
      </c>
      <c r="O15" s="2"/>
    </row>
    <row r="16" spans="1:15" ht="45" customHeight="1" x14ac:dyDescent="0.25">
      <c r="A16" s="2" t="s">
        <v>937</v>
      </c>
      <c r="B16" s="2" t="s">
        <v>48</v>
      </c>
      <c r="C16" s="2" t="s">
        <v>814</v>
      </c>
      <c r="D16" s="2" t="s">
        <v>815</v>
      </c>
      <c r="E16" s="2" t="s">
        <v>98</v>
      </c>
      <c r="F16" s="2" t="s">
        <v>938</v>
      </c>
      <c r="G16" s="2" t="s">
        <v>1076</v>
      </c>
      <c r="H16" s="2" t="s">
        <v>44</v>
      </c>
      <c r="I16" s="2" t="s">
        <v>936</v>
      </c>
      <c r="J16" s="2" t="str">
        <f>IFERROR(INDEX('Database Verification'!$N:$N,MATCH($I16,'Database Verification'!$B:$B,0)),"")</f>
        <v>Pass</v>
      </c>
      <c r="K16" s="7" t="str">
        <f>IFERROR(INDEX('Database Verification'!$J:$J,MATCH($I16,'Database Verification'!$B:$B,0)),"")</f>
        <v>2026-10-28</v>
      </c>
      <c r="L16" s="2"/>
      <c r="M16" s="2" t="str">
        <f>IFERROR(INDEX('Database Verification'!$O:$O,MATCH($I16,'Database Verification'!$B:$B,0)),"")</f>
        <v>P0B-PREFLIGHT-001: meals-0b-production-preflight-manifest.json; complete catalog/supplement JSON and CSV evidence in session b7458d86-6190-4718-8779-7c2b79a30630/files; Dashboard-verified home-maintenance-app / tawvchmjtkgykwwvnnnn
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6" s="2" t="s">
        <v>1075</v>
      </c>
      <c r="O16" s="2"/>
    </row>
    <row r="17" spans="1:15" ht="30" customHeight="1" x14ac:dyDescent="0.25">
      <c r="A17" s="2" t="s">
        <v>95</v>
      </c>
      <c r="B17" s="2" t="s">
        <v>48</v>
      </c>
      <c r="C17" s="2" t="s">
        <v>96</v>
      </c>
      <c r="D17" s="2" t="s">
        <v>97</v>
      </c>
      <c r="E17" s="2" t="s">
        <v>98</v>
      </c>
      <c r="F17" s="2" t="s">
        <v>102</v>
      </c>
      <c r="G17" s="2" t="s">
        <v>1082</v>
      </c>
      <c r="H17" s="2" t="s">
        <v>41</v>
      </c>
      <c r="I17" s="2" t="s">
        <v>94</v>
      </c>
      <c r="J17" s="2" t="str">
        <f>IFERROR(INDEX('Functional Acceptance'!$L:$L,MATCH($I17,'Functional Acceptance'!$B:$B,0)),"")</f>
        <v>Pass</v>
      </c>
      <c r="K17" s="7">
        <f>IFERROR(INDEX('Functional Acceptance'!$M:$M,MATCH($I17,'Functional Acceptance'!$B:$B,0)),"")</f>
        <v>46323</v>
      </c>
      <c r="L17" s="2" t="str">
        <f>IFERROR(INDEX('Functional Acceptance'!$N:$N,MATCH($I17,'Functional Acceptance'!$B:$B,0)),"")</f>
        <v>MEALS-DEF-001</v>
      </c>
      <c r="M17" s="2" t="str">
        <f>IFERROR(INDEX('Functional Acceptance'!$O:$O,MATCH($I17,'Functional Acceptance'!$B:$B,0)),"")</f>
        <v>spec/meals/README.md#phase-0a-technical-evidence; P0-UAT-001: designated owner reported live Life Manager UAT PASS on 2026-10-28; release 8298e2e0797ddff7d2d53cc058fa41fb407ac0ab; recorded by Copilot from owner report, not automated authenticated verification</v>
      </c>
      <c r="N17" s="2" t="s">
        <v>1075</v>
      </c>
      <c r="O17" s="2"/>
    </row>
    <row r="18" spans="1:15" ht="30" customHeight="1" x14ac:dyDescent="0.25">
      <c r="A18" s="2" t="s">
        <v>104</v>
      </c>
      <c r="B18" s="2" t="s">
        <v>48</v>
      </c>
      <c r="C18" s="2" t="s">
        <v>96</v>
      </c>
      <c r="D18" s="2" t="s">
        <v>97</v>
      </c>
      <c r="E18" s="2" t="s">
        <v>98</v>
      </c>
      <c r="F18" s="2" t="s">
        <v>106</v>
      </c>
      <c r="G18" s="2" t="s">
        <v>1082</v>
      </c>
      <c r="H18" s="2" t="s">
        <v>41</v>
      </c>
      <c r="I18" s="2" t="s">
        <v>103</v>
      </c>
      <c r="J18" s="2" t="str">
        <f>IFERROR(INDEX('Functional Acceptance'!$L:$L,MATCH($I18,'Functional Acceptance'!$B:$B,0)),"")</f>
        <v>Pass</v>
      </c>
      <c r="K18" s="7">
        <f>IFERROR(INDEX('Functional Acceptance'!$M:$M,MATCH($I18,'Functional Acceptance'!$B:$B,0)),"")</f>
        <v>46323</v>
      </c>
      <c r="L18" s="2">
        <f>IFERROR(INDEX('Functional Acceptance'!$N:$N,MATCH($I18,'Functional Acceptance'!$B:$B,0)),"")</f>
        <v>0</v>
      </c>
      <c r="M18" s="2" t="str">
        <f>IFERROR(INDEX('Functional Acceptance'!$O:$O,MATCH($I18,'Functional Acceptance'!$B:$B,0)),"")</f>
        <v>spec/meals/README.md#phase-0a-technical-evidence; P0-UAT-001: designated owner reported live Life Manager UAT PASS on 2026-10-28; release 8298e2e0797ddff7d2d53cc058fa41fb407ac0ab; recorded by Copilot from owner report, not automated authenticated verification</v>
      </c>
      <c r="N18" s="2" t="s">
        <v>1075</v>
      </c>
      <c r="O18" s="2"/>
    </row>
    <row r="19" spans="1:15" ht="15" customHeight="1" x14ac:dyDescent="0.25">
      <c r="A19" s="2" t="s">
        <v>108</v>
      </c>
      <c r="B19" s="2" t="s">
        <v>48</v>
      </c>
      <c r="C19" s="2" t="s">
        <v>96</v>
      </c>
      <c r="D19" s="2" t="s">
        <v>109</v>
      </c>
      <c r="E19" s="2" t="s">
        <v>98</v>
      </c>
      <c r="F19" s="2" t="s">
        <v>111</v>
      </c>
      <c r="G19" s="2" t="s">
        <v>1082</v>
      </c>
      <c r="H19" s="2" t="s">
        <v>41</v>
      </c>
      <c r="I19" s="2" t="s">
        <v>107</v>
      </c>
      <c r="J19" s="2" t="str">
        <f>IFERROR(INDEX('Functional Acceptance'!$L:$L,MATCH($I19,'Functional Acceptance'!$B:$B,0)),"")</f>
        <v>Pass</v>
      </c>
      <c r="K19" s="7">
        <f>IFERROR(INDEX('Functional Acceptance'!$M:$M,MATCH($I19,'Functional Acceptance'!$B:$B,0)),"")</f>
        <v>46323</v>
      </c>
      <c r="L19" s="2">
        <f>IFERROR(INDEX('Functional Acceptance'!$N:$N,MATCH($I19,'Functional Acceptance'!$B:$B,0)),"")</f>
        <v>0</v>
      </c>
      <c r="M19" s="2" t="str">
        <f>IFERROR(INDEX('Functional Acceptance'!$O:$O,MATCH($I19,'Functional Acceptance'!$B:$B,0)),"")</f>
        <v>spec/meals/README.md#phase-0a-technical-evidence; P0-UAT-001: designated owner reported live Life Manager UAT PASS on 2026-10-28; release 8298e2e0797ddff7d2d53cc058fa41fb407ac0ab; recorded by Copilot from owner report, not automated authenticated verification</v>
      </c>
      <c r="N19" s="2" t="s">
        <v>1075</v>
      </c>
      <c r="O19" s="2"/>
    </row>
    <row r="20" spans="1:15" ht="15" customHeight="1" x14ac:dyDescent="0.25">
      <c r="A20" s="2" t="s">
        <v>113</v>
      </c>
      <c r="B20" s="2" t="s">
        <v>48</v>
      </c>
      <c r="C20" s="2" t="s">
        <v>96</v>
      </c>
      <c r="D20" s="2" t="s">
        <v>109</v>
      </c>
      <c r="E20" s="2" t="s">
        <v>98</v>
      </c>
      <c r="F20" s="2" t="s">
        <v>115</v>
      </c>
      <c r="G20" s="2" t="s">
        <v>1082</v>
      </c>
      <c r="H20" s="2" t="s">
        <v>41</v>
      </c>
      <c r="I20" s="2" t="s">
        <v>112</v>
      </c>
      <c r="J20" s="2" t="str">
        <f>IFERROR(INDEX('Functional Acceptance'!$L:$L,MATCH($I20,'Functional Acceptance'!$B:$B,0)),"")</f>
        <v>Pass</v>
      </c>
      <c r="K20" s="7">
        <f>IFERROR(INDEX('Functional Acceptance'!$M:$M,MATCH($I20,'Functional Acceptance'!$B:$B,0)),"")</f>
        <v>46323</v>
      </c>
      <c r="L20" s="2">
        <f>IFERROR(INDEX('Functional Acceptance'!$N:$N,MATCH($I20,'Functional Acceptance'!$B:$B,0)),"")</f>
        <v>0</v>
      </c>
      <c r="M20" s="2" t="str">
        <f>IFERROR(INDEX('Functional Acceptance'!$O:$O,MATCH($I20,'Functional Acceptance'!$B:$B,0)),"")</f>
        <v>spec/meals/README.md#phase-0a-technical-evidence; P0-UAT-001: designated owner reported live Life Manager UAT PASS on 2026-10-28; release 8298e2e0797ddff7d2d53cc058fa41fb407ac0ab; recorded by Copilot from owner report, not automated authenticated verification</v>
      </c>
      <c r="N20" s="2" t="s">
        <v>1075</v>
      </c>
      <c r="O20" s="2"/>
    </row>
    <row r="21" spans="1:15" ht="15" customHeight="1" x14ac:dyDescent="0.25">
      <c r="A21" s="2" t="s">
        <v>117</v>
      </c>
      <c r="B21" s="2" t="s">
        <v>50</v>
      </c>
      <c r="C21" s="2" t="s">
        <v>96</v>
      </c>
      <c r="D21" s="2" t="s">
        <v>109</v>
      </c>
      <c r="E21" s="2" t="s">
        <v>98</v>
      </c>
      <c r="F21" s="2" t="s">
        <v>119</v>
      </c>
      <c r="G21" s="2" t="s">
        <v>1082</v>
      </c>
      <c r="H21" s="2" t="s">
        <v>41</v>
      </c>
      <c r="I21" s="2" t="s">
        <v>116</v>
      </c>
      <c r="J21" s="2" t="str">
        <f>IFERROR(INDEX('Functional Acceptance'!$L:$L,MATCH($I21,'Functional Acceptance'!$B:$B,0)),"")</f>
        <v>Not Built</v>
      </c>
      <c r="K21" s="7">
        <f>IFERROR(INDEX('Functional Acceptance'!$M:$M,MATCH($I21,'Functional Acceptance'!$B:$B,0)),"")</f>
        <v>0</v>
      </c>
      <c r="L21" s="2">
        <f>IFERROR(INDEX('Functional Acceptance'!$N:$N,MATCH($I21,'Functional Acceptance'!$B:$B,0)),"")</f>
        <v>0</v>
      </c>
      <c r="M21" s="2">
        <f>IFERROR(INDEX('Functional Acceptance'!$O:$O,MATCH($I21,'Functional Acceptance'!$B:$B,0)),"")</f>
        <v>0</v>
      </c>
      <c r="N21" s="2" t="s">
        <v>1075</v>
      </c>
      <c r="O21" s="2"/>
    </row>
    <row r="22" spans="1:15" ht="15" customHeight="1" x14ac:dyDescent="0.25">
      <c r="A22" s="2" t="s">
        <v>121</v>
      </c>
      <c r="B22" s="2" t="s">
        <v>50</v>
      </c>
      <c r="C22" s="2" t="s">
        <v>96</v>
      </c>
      <c r="D22" s="2" t="s">
        <v>109</v>
      </c>
      <c r="E22" s="2" t="s">
        <v>98</v>
      </c>
      <c r="F22" s="2" t="s">
        <v>123</v>
      </c>
      <c r="G22" s="2" t="s">
        <v>1082</v>
      </c>
      <c r="H22" s="2" t="s">
        <v>41</v>
      </c>
      <c r="I22" s="2" t="s">
        <v>120</v>
      </c>
      <c r="J22" s="2" t="str">
        <f>IFERROR(INDEX('Functional Acceptance'!$L:$L,MATCH($I22,'Functional Acceptance'!$B:$B,0)),"")</f>
        <v>Not Built</v>
      </c>
      <c r="K22" s="7">
        <f>IFERROR(INDEX('Functional Acceptance'!$M:$M,MATCH($I22,'Functional Acceptance'!$B:$B,0)),"")</f>
        <v>0</v>
      </c>
      <c r="L22" s="2">
        <f>IFERROR(INDEX('Functional Acceptance'!$N:$N,MATCH($I22,'Functional Acceptance'!$B:$B,0)),"")</f>
        <v>0</v>
      </c>
      <c r="M22" s="2">
        <f>IFERROR(INDEX('Functional Acceptance'!$O:$O,MATCH($I22,'Functional Acceptance'!$B:$B,0)),"")</f>
        <v>0</v>
      </c>
      <c r="N22" s="2" t="s">
        <v>1075</v>
      </c>
      <c r="O22" s="2"/>
    </row>
    <row r="23" spans="1:15" ht="15" customHeight="1" x14ac:dyDescent="0.25">
      <c r="A23" s="2" t="s">
        <v>125</v>
      </c>
      <c r="B23" s="2" t="s">
        <v>52</v>
      </c>
      <c r="C23" s="2" t="s">
        <v>96</v>
      </c>
      <c r="D23" s="2" t="s">
        <v>109</v>
      </c>
      <c r="E23" s="2" t="s">
        <v>98</v>
      </c>
      <c r="F23" s="2" t="s">
        <v>127</v>
      </c>
      <c r="G23" s="2" t="s">
        <v>1082</v>
      </c>
      <c r="H23" s="2" t="s">
        <v>41</v>
      </c>
      <c r="I23" s="2" t="s">
        <v>124</v>
      </c>
      <c r="J23" s="2" t="str">
        <f>IFERROR(INDEX('Functional Acceptance'!$L:$L,MATCH($I23,'Functional Acceptance'!$B:$B,0)),"")</f>
        <v>Not Built</v>
      </c>
      <c r="K23" s="7">
        <f>IFERROR(INDEX('Functional Acceptance'!$M:$M,MATCH($I23,'Functional Acceptance'!$B:$B,0)),"")</f>
        <v>0</v>
      </c>
      <c r="L23" s="2">
        <f>IFERROR(INDEX('Functional Acceptance'!$N:$N,MATCH($I23,'Functional Acceptance'!$B:$B,0)),"")</f>
        <v>0</v>
      </c>
      <c r="M23" s="2">
        <f>IFERROR(INDEX('Functional Acceptance'!$O:$O,MATCH($I23,'Functional Acceptance'!$B:$B,0)),"")</f>
        <v>0</v>
      </c>
      <c r="N23" s="2" t="s">
        <v>1075</v>
      </c>
      <c r="O23" s="2"/>
    </row>
    <row r="24" spans="1:15" ht="30" customHeight="1" x14ac:dyDescent="0.25">
      <c r="A24" s="2" t="s">
        <v>1083</v>
      </c>
      <c r="B24" s="2" t="s">
        <v>56</v>
      </c>
      <c r="C24" s="2" t="s">
        <v>96</v>
      </c>
      <c r="D24" s="2" t="s">
        <v>109</v>
      </c>
      <c r="E24" s="2" t="s">
        <v>98</v>
      </c>
      <c r="F24" s="2" t="s">
        <v>1084</v>
      </c>
      <c r="G24" s="2" t="s">
        <v>1085</v>
      </c>
      <c r="H24" s="2" t="s">
        <v>1086</v>
      </c>
      <c r="I24" s="2"/>
      <c r="J24" s="2" t="s">
        <v>16</v>
      </c>
      <c r="K24" s="7"/>
      <c r="L24" s="2"/>
      <c r="M24" s="2"/>
      <c r="N24" s="2" t="s">
        <v>16</v>
      </c>
      <c r="O24" s="2"/>
    </row>
    <row r="25" spans="1:15" ht="15" customHeight="1" x14ac:dyDescent="0.25">
      <c r="A25" s="2" t="s">
        <v>129</v>
      </c>
      <c r="B25" s="2" t="s">
        <v>48</v>
      </c>
      <c r="C25" s="2" t="s">
        <v>96</v>
      </c>
      <c r="D25" s="2" t="s">
        <v>109</v>
      </c>
      <c r="E25" s="2" t="s">
        <v>98</v>
      </c>
      <c r="F25" s="2" t="s">
        <v>131</v>
      </c>
      <c r="G25" s="2" t="s">
        <v>1082</v>
      </c>
      <c r="H25" s="2" t="s">
        <v>41</v>
      </c>
      <c r="I25" s="2" t="s">
        <v>128</v>
      </c>
      <c r="J25" s="2" t="str">
        <f>IFERROR(INDEX('Functional Acceptance'!$L:$L,MATCH($I25,'Functional Acceptance'!$B:$B,0)),"")</f>
        <v>Pass</v>
      </c>
      <c r="K25" s="7">
        <f>IFERROR(INDEX('Functional Acceptance'!$M:$M,MATCH($I25,'Functional Acceptance'!$B:$B,0)),"")</f>
        <v>46323</v>
      </c>
      <c r="L25" s="2">
        <f>IFERROR(INDEX('Functional Acceptance'!$N:$N,MATCH($I25,'Functional Acceptance'!$B:$B,0)),"")</f>
        <v>0</v>
      </c>
      <c r="M25" s="2" t="str">
        <f>IFERROR(INDEX('Functional Acceptance'!$O:$O,MATCH($I25,'Functional Acceptance'!$B:$B,0)),"")</f>
        <v>spec/meals/README.md#phase-0a-technical-evidence; P0-UAT-001: designated owner reported live Life Manager UAT PASS on 2026-10-28; release 8298e2e0797ddff7d2d53cc058fa41fb407ac0ab; recorded by Copilot from owner report, not automated authenticated verification</v>
      </c>
      <c r="N25" s="2" t="s">
        <v>1075</v>
      </c>
      <c r="O25" s="2"/>
    </row>
    <row r="26" spans="1:15" ht="30" customHeight="1" x14ac:dyDescent="0.25">
      <c r="A26" s="2" t="s">
        <v>133</v>
      </c>
      <c r="B26" s="2" t="s">
        <v>50</v>
      </c>
      <c r="C26" s="2" t="s">
        <v>134</v>
      </c>
      <c r="D26" s="2" t="s">
        <v>97</v>
      </c>
      <c r="E26" s="2" t="s">
        <v>135</v>
      </c>
      <c r="F26" s="2" t="s">
        <v>139</v>
      </c>
      <c r="G26" s="2" t="s">
        <v>1082</v>
      </c>
      <c r="H26" s="2" t="s">
        <v>41</v>
      </c>
      <c r="I26" s="2" t="s">
        <v>132</v>
      </c>
      <c r="J26" s="2" t="str">
        <f>IFERROR(INDEX('Functional Acceptance'!$L:$L,MATCH($I26,'Functional Acceptance'!$B:$B,0)),"")</f>
        <v>Not Built</v>
      </c>
      <c r="K26" s="7">
        <f>IFERROR(INDEX('Functional Acceptance'!$M:$M,MATCH($I26,'Functional Acceptance'!$B:$B,0)),"")</f>
        <v>0</v>
      </c>
      <c r="L26" s="2">
        <f>IFERROR(INDEX('Functional Acceptance'!$N:$N,MATCH($I26,'Functional Acceptance'!$B:$B,0)),"")</f>
        <v>0</v>
      </c>
      <c r="M26" s="2">
        <f>IFERROR(INDEX('Functional Acceptance'!$O:$O,MATCH($I26,'Functional Acceptance'!$B:$B,0)),"")</f>
        <v>0</v>
      </c>
      <c r="N26" s="2" t="s">
        <v>1075</v>
      </c>
      <c r="O26" s="2"/>
    </row>
    <row r="27" spans="1:15" ht="30" customHeight="1" x14ac:dyDescent="0.25">
      <c r="A27" s="2" t="s">
        <v>144</v>
      </c>
      <c r="B27" s="2" t="s">
        <v>50</v>
      </c>
      <c r="C27" s="2" t="s">
        <v>134</v>
      </c>
      <c r="D27" s="2" t="s">
        <v>97</v>
      </c>
      <c r="E27" s="2" t="s">
        <v>135</v>
      </c>
      <c r="F27" s="2" t="s">
        <v>146</v>
      </c>
      <c r="G27" s="2" t="s">
        <v>1082</v>
      </c>
      <c r="H27" s="2" t="s">
        <v>41</v>
      </c>
      <c r="I27" s="2" t="s">
        <v>143</v>
      </c>
      <c r="J27" s="2" t="str">
        <f>IFERROR(INDEX('Functional Acceptance'!$L:$L,MATCH($I27,'Functional Acceptance'!$B:$B,0)),"")</f>
        <v>Not Built</v>
      </c>
      <c r="K27" s="7">
        <f>IFERROR(INDEX('Functional Acceptance'!$M:$M,MATCH($I27,'Functional Acceptance'!$B:$B,0)),"")</f>
        <v>0</v>
      </c>
      <c r="L27" s="2">
        <f>IFERROR(INDEX('Functional Acceptance'!$N:$N,MATCH($I27,'Functional Acceptance'!$B:$B,0)),"")</f>
        <v>0</v>
      </c>
      <c r="M27" s="2">
        <f>IFERROR(INDEX('Functional Acceptance'!$O:$O,MATCH($I27,'Functional Acceptance'!$B:$B,0)),"")</f>
        <v>0</v>
      </c>
      <c r="N27" s="2" t="s">
        <v>1075</v>
      </c>
      <c r="O27" s="2"/>
    </row>
    <row r="28" spans="1:15" ht="30" customHeight="1" x14ac:dyDescent="0.25">
      <c r="A28" s="2" t="s">
        <v>148</v>
      </c>
      <c r="B28" s="2" t="s">
        <v>50</v>
      </c>
      <c r="C28" s="2" t="s">
        <v>134</v>
      </c>
      <c r="D28" s="2" t="s">
        <v>97</v>
      </c>
      <c r="E28" s="2" t="s">
        <v>141</v>
      </c>
      <c r="F28" s="2" t="s">
        <v>150</v>
      </c>
      <c r="G28" s="2" t="s">
        <v>1082</v>
      </c>
      <c r="H28" s="2" t="s">
        <v>41</v>
      </c>
      <c r="I28" s="2" t="s">
        <v>147</v>
      </c>
      <c r="J28" s="2" t="str">
        <f>IFERROR(INDEX('Functional Acceptance'!$L:$L,MATCH($I28,'Functional Acceptance'!$B:$B,0)),"")</f>
        <v>Not Built</v>
      </c>
      <c r="K28" s="7">
        <f>IFERROR(INDEX('Functional Acceptance'!$M:$M,MATCH($I28,'Functional Acceptance'!$B:$B,0)),"")</f>
        <v>0</v>
      </c>
      <c r="L28" s="2">
        <f>IFERROR(INDEX('Functional Acceptance'!$N:$N,MATCH($I28,'Functional Acceptance'!$B:$B,0)),"")</f>
        <v>0</v>
      </c>
      <c r="M28" s="2">
        <f>IFERROR(INDEX('Functional Acceptance'!$O:$O,MATCH($I28,'Functional Acceptance'!$B:$B,0)),"")</f>
        <v>0</v>
      </c>
      <c r="N28" s="2" t="s">
        <v>1075</v>
      </c>
      <c r="O28" s="2"/>
    </row>
    <row r="29" spans="1:15" ht="15" customHeight="1" x14ac:dyDescent="0.25">
      <c r="A29" s="2" t="s">
        <v>152</v>
      </c>
      <c r="B29" s="2" t="s">
        <v>50</v>
      </c>
      <c r="C29" s="2" t="s">
        <v>134</v>
      </c>
      <c r="D29" s="2" t="s">
        <v>109</v>
      </c>
      <c r="E29" s="2" t="s">
        <v>98</v>
      </c>
      <c r="F29" s="2" t="s">
        <v>154</v>
      </c>
      <c r="G29" s="2" t="s">
        <v>1082</v>
      </c>
      <c r="H29" s="2" t="s">
        <v>41</v>
      </c>
      <c r="I29" s="2" t="s">
        <v>151</v>
      </c>
      <c r="J29" s="2" t="str">
        <f>IFERROR(INDEX('Functional Acceptance'!$L:$L,MATCH($I29,'Functional Acceptance'!$B:$B,0)),"")</f>
        <v>Not Built</v>
      </c>
      <c r="K29" s="7">
        <f>IFERROR(INDEX('Functional Acceptance'!$M:$M,MATCH($I29,'Functional Acceptance'!$B:$B,0)),"")</f>
        <v>0</v>
      </c>
      <c r="L29" s="2">
        <f>IFERROR(INDEX('Functional Acceptance'!$N:$N,MATCH($I29,'Functional Acceptance'!$B:$B,0)),"")</f>
        <v>0</v>
      </c>
      <c r="M29" s="2">
        <f>IFERROR(INDEX('Functional Acceptance'!$O:$O,MATCH($I29,'Functional Acceptance'!$B:$B,0)),"")</f>
        <v>0</v>
      </c>
      <c r="N29" s="2" t="s">
        <v>1075</v>
      </c>
      <c r="O29" s="2"/>
    </row>
    <row r="30" spans="1:15" ht="15" customHeight="1" x14ac:dyDescent="0.25">
      <c r="A30" s="2" t="s">
        <v>156</v>
      </c>
      <c r="B30" s="2" t="s">
        <v>50</v>
      </c>
      <c r="C30" s="2" t="s">
        <v>134</v>
      </c>
      <c r="D30" s="2" t="s">
        <v>109</v>
      </c>
      <c r="E30" s="2" t="s">
        <v>98</v>
      </c>
      <c r="F30" s="2" t="s">
        <v>159</v>
      </c>
      <c r="G30" s="2" t="s">
        <v>1082</v>
      </c>
      <c r="H30" s="2" t="s">
        <v>41</v>
      </c>
      <c r="I30" s="2" t="s">
        <v>155</v>
      </c>
      <c r="J30" s="2" t="str">
        <f>IFERROR(INDEX('Functional Acceptance'!$L:$L,MATCH($I30,'Functional Acceptance'!$B:$B,0)),"")</f>
        <v>Not Built</v>
      </c>
      <c r="K30" s="7">
        <f>IFERROR(INDEX('Functional Acceptance'!$M:$M,MATCH($I30,'Functional Acceptance'!$B:$B,0)),"")</f>
        <v>0</v>
      </c>
      <c r="L30" s="2">
        <f>IFERROR(INDEX('Functional Acceptance'!$N:$N,MATCH($I30,'Functional Acceptance'!$B:$B,0)),"")</f>
        <v>0</v>
      </c>
      <c r="M30" s="2">
        <f>IFERROR(INDEX('Functional Acceptance'!$O:$O,MATCH($I30,'Functional Acceptance'!$B:$B,0)),"")</f>
        <v>0</v>
      </c>
      <c r="N30" s="2" t="s">
        <v>1075</v>
      </c>
      <c r="O30" s="2"/>
    </row>
    <row r="31" spans="1:15" ht="30" customHeight="1" x14ac:dyDescent="0.25">
      <c r="A31" s="2" t="s">
        <v>161</v>
      </c>
      <c r="B31" s="2" t="s">
        <v>50</v>
      </c>
      <c r="C31" s="2" t="s">
        <v>134</v>
      </c>
      <c r="D31" s="2" t="s">
        <v>109</v>
      </c>
      <c r="E31" s="2" t="s">
        <v>98</v>
      </c>
      <c r="F31" s="2" t="s">
        <v>164</v>
      </c>
      <c r="G31" s="2" t="s">
        <v>1082</v>
      </c>
      <c r="H31" s="2" t="s">
        <v>41</v>
      </c>
      <c r="I31" s="2" t="s">
        <v>160</v>
      </c>
      <c r="J31" s="2" t="str">
        <f>IFERROR(INDEX('Functional Acceptance'!$L:$L,MATCH($I31,'Functional Acceptance'!$B:$B,0)),"")</f>
        <v>Not Built</v>
      </c>
      <c r="K31" s="7">
        <f>IFERROR(INDEX('Functional Acceptance'!$M:$M,MATCH($I31,'Functional Acceptance'!$B:$B,0)),"")</f>
        <v>0</v>
      </c>
      <c r="L31" s="2">
        <f>IFERROR(INDEX('Functional Acceptance'!$N:$N,MATCH($I31,'Functional Acceptance'!$B:$B,0)),"")</f>
        <v>0</v>
      </c>
      <c r="M31" s="2">
        <f>IFERROR(INDEX('Functional Acceptance'!$O:$O,MATCH($I31,'Functional Acceptance'!$B:$B,0)),"")</f>
        <v>0</v>
      </c>
      <c r="N31" s="2" t="s">
        <v>1075</v>
      </c>
      <c r="O31" s="2"/>
    </row>
    <row r="32" spans="1:15" ht="15" customHeight="1" x14ac:dyDescent="0.25">
      <c r="A32" s="2" t="s">
        <v>166</v>
      </c>
      <c r="B32" s="2" t="s">
        <v>50</v>
      </c>
      <c r="C32" s="2" t="s">
        <v>134</v>
      </c>
      <c r="D32" s="2" t="s">
        <v>109</v>
      </c>
      <c r="E32" s="2" t="s">
        <v>98</v>
      </c>
      <c r="F32" s="2" t="s">
        <v>168</v>
      </c>
      <c r="G32" s="2" t="s">
        <v>1082</v>
      </c>
      <c r="H32" s="2" t="s">
        <v>41</v>
      </c>
      <c r="I32" s="2" t="s">
        <v>165</v>
      </c>
      <c r="J32" s="2" t="str">
        <f>IFERROR(INDEX('Functional Acceptance'!$L:$L,MATCH($I32,'Functional Acceptance'!$B:$B,0)),"")</f>
        <v>Not Built</v>
      </c>
      <c r="K32" s="7">
        <f>IFERROR(INDEX('Functional Acceptance'!$M:$M,MATCH($I32,'Functional Acceptance'!$B:$B,0)),"")</f>
        <v>0</v>
      </c>
      <c r="L32" s="2">
        <f>IFERROR(INDEX('Functional Acceptance'!$N:$N,MATCH($I32,'Functional Acceptance'!$B:$B,0)),"")</f>
        <v>0</v>
      </c>
      <c r="M32" s="2">
        <f>IFERROR(INDEX('Functional Acceptance'!$O:$O,MATCH($I32,'Functional Acceptance'!$B:$B,0)),"")</f>
        <v>0</v>
      </c>
      <c r="N32" s="2" t="s">
        <v>1075</v>
      </c>
      <c r="O32" s="2"/>
    </row>
    <row r="33" spans="1:15" ht="15" customHeight="1" x14ac:dyDescent="0.25">
      <c r="A33" s="2" t="s">
        <v>170</v>
      </c>
      <c r="B33" s="2" t="s">
        <v>50</v>
      </c>
      <c r="C33" s="2" t="s">
        <v>134</v>
      </c>
      <c r="D33" s="2" t="s">
        <v>109</v>
      </c>
      <c r="E33" s="2" t="s">
        <v>98</v>
      </c>
      <c r="F33" s="2" t="s">
        <v>172</v>
      </c>
      <c r="G33" s="2" t="s">
        <v>1082</v>
      </c>
      <c r="H33" s="2" t="s">
        <v>41</v>
      </c>
      <c r="I33" s="2" t="s">
        <v>169</v>
      </c>
      <c r="J33" s="2" t="str">
        <f>IFERROR(INDEX('Functional Acceptance'!$L:$L,MATCH($I33,'Functional Acceptance'!$B:$B,0)),"")</f>
        <v>Not Built</v>
      </c>
      <c r="K33" s="7">
        <f>IFERROR(INDEX('Functional Acceptance'!$M:$M,MATCH($I33,'Functional Acceptance'!$B:$B,0)),"")</f>
        <v>0</v>
      </c>
      <c r="L33" s="2">
        <f>IFERROR(INDEX('Functional Acceptance'!$N:$N,MATCH($I33,'Functional Acceptance'!$B:$B,0)),"")</f>
        <v>0</v>
      </c>
      <c r="M33" s="2">
        <f>IFERROR(INDEX('Functional Acceptance'!$O:$O,MATCH($I33,'Functional Acceptance'!$B:$B,0)),"")</f>
        <v>0</v>
      </c>
      <c r="N33" s="2" t="s">
        <v>1075</v>
      </c>
      <c r="O33" s="2"/>
    </row>
    <row r="34" spans="1:15" ht="15" customHeight="1" x14ac:dyDescent="0.25">
      <c r="A34" s="2" t="s">
        <v>174</v>
      </c>
      <c r="B34" s="2" t="s">
        <v>50</v>
      </c>
      <c r="C34" s="2" t="s">
        <v>134</v>
      </c>
      <c r="D34" s="2" t="s">
        <v>109</v>
      </c>
      <c r="E34" s="2" t="s">
        <v>98</v>
      </c>
      <c r="F34" s="2" t="s">
        <v>176</v>
      </c>
      <c r="G34" s="2" t="s">
        <v>1082</v>
      </c>
      <c r="H34" s="2" t="s">
        <v>41</v>
      </c>
      <c r="I34" s="2" t="s">
        <v>173</v>
      </c>
      <c r="J34" s="2" t="str">
        <f>IFERROR(INDEX('Functional Acceptance'!$L:$L,MATCH($I34,'Functional Acceptance'!$B:$B,0)),"")</f>
        <v>Not Built</v>
      </c>
      <c r="K34" s="7">
        <f>IFERROR(INDEX('Functional Acceptance'!$M:$M,MATCH($I34,'Functional Acceptance'!$B:$B,0)),"")</f>
        <v>0</v>
      </c>
      <c r="L34" s="2">
        <f>IFERROR(INDEX('Functional Acceptance'!$N:$N,MATCH($I34,'Functional Acceptance'!$B:$B,0)),"")</f>
        <v>0</v>
      </c>
      <c r="M34" s="2">
        <f>IFERROR(INDEX('Functional Acceptance'!$O:$O,MATCH($I34,'Functional Acceptance'!$B:$B,0)),"")</f>
        <v>0</v>
      </c>
      <c r="N34" s="2" t="s">
        <v>1075</v>
      </c>
      <c r="O34" s="2"/>
    </row>
    <row r="35" spans="1:15" ht="30" customHeight="1" x14ac:dyDescent="0.25">
      <c r="A35" s="2" t="s">
        <v>178</v>
      </c>
      <c r="B35" s="2" t="s">
        <v>50</v>
      </c>
      <c r="C35" s="2" t="s">
        <v>134</v>
      </c>
      <c r="D35" s="2" t="s">
        <v>109</v>
      </c>
      <c r="E35" s="2" t="s">
        <v>135</v>
      </c>
      <c r="F35" s="2" t="s">
        <v>180</v>
      </c>
      <c r="G35" s="2" t="s">
        <v>1082</v>
      </c>
      <c r="H35" s="2" t="s">
        <v>41</v>
      </c>
      <c r="I35" s="2" t="s">
        <v>177</v>
      </c>
      <c r="J35" s="2" t="str">
        <f>IFERROR(INDEX('Functional Acceptance'!$L:$L,MATCH($I35,'Functional Acceptance'!$B:$B,0)),"")</f>
        <v>Not Built</v>
      </c>
      <c r="K35" s="7">
        <f>IFERROR(INDEX('Functional Acceptance'!$M:$M,MATCH($I35,'Functional Acceptance'!$B:$B,0)),"")</f>
        <v>0</v>
      </c>
      <c r="L35" s="2">
        <f>IFERROR(INDEX('Functional Acceptance'!$N:$N,MATCH($I35,'Functional Acceptance'!$B:$B,0)),"")</f>
        <v>0</v>
      </c>
      <c r="M35" s="2">
        <f>IFERROR(INDEX('Functional Acceptance'!$O:$O,MATCH($I35,'Functional Acceptance'!$B:$B,0)),"")</f>
        <v>0</v>
      </c>
      <c r="N35" s="2" t="s">
        <v>1075</v>
      </c>
      <c r="O35" s="2"/>
    </row>
    <row r="36" spans="1:15" ht="15" customHeight="1" x14ac:dyDescent="0.25">
      <c r="A36" s="2" t="s">
        <v>182</v>
      </c>
      <c r="B36" s="2" t="s">
        <v>50</v>
      </c>
      <c r="C36" s="2" t="s">
        <v>134</v>
      </c>
      <c r="D36" s="2" t="s">
        <v>109</v>
      </c>
      <c r="E36" s="2" t="s">
        <v>141</v>
      </c>
      <c r="F36" s="2" t="s">
        <v>184</v>
      </c>
      <c r="G36" s="2" t="s">
        <v>1082</v>
      </c>
      <c r="H36" s="2" t="s">
        <v>41</v>
      </c>
      <c r="I36" s="2" t="s">
        <v>181</v>
      </c>
      <c r="J36" s="2" t="str">
        <f>IFERROR(INDEX('Functional Acceptance'!$L:$L,MATCH($I36,'Functional Acceptance'!$B:$B,0)),"")</f>
        <v>Not Built</v>
      </c>
      <c r="K36" s="7">
        <f>IFERROR(INDEX('Functional Acceptance'!$M:$M,MATCH($I36,'Functional Acceptance'!$B:$B,0)),"")</f>
        <v>0</v>
      </c>
      <c r="L36" s="2">
        <f>IFERROR(INDEX('Functional Acceptance'!$N:$N,MATCH($I36,'Functional Acceptance'!$B:$B,0)),"")</f>
        <v>0</v>
      </c>
      <c r="M36" s="2">
        <f>IFERROR(INDEX('Functional Acceptance'!$O:$O,MATCH($I36,'Functional Acceptance'!$B:$B,0)),"")</f>
        <v>0</v>
      </c>
      <c r="N36" s="2" t="s">
        <v>1075</v>
      </c>
      <c r="O36" s="2"/>
    </row>
    <row r="37" spans="1:15" ht="30" customHeight="1" x14ac:dyDescent="0.25">
      <c r="A37" s="2" t="s">
        <v>186</v>
      </c>
      <c r="B37" s="2" t="s">
        <v>50</v>
      </c>
      <c r="C37" s="2" t="s">
        <v>134</v>
      </c>
      <c r="D37" s="2" t="s">
        <v>109</v>
      </c>
      <c r="E37" s="2" t="s">
        <v>135</v>
      </c>
      <c r="F37" s="2" t="s">
        <v>189</v>
      </c>
      <c r="G37" s="2" t="s">
        <v>1082</v>
      </c>
      <c r="H37" s="2" t="s">
        <v>41</v>
      </c>
      <c r="I37" s="2" t="s">
        <v>185</v>
      </c>
      <c r="J37" s="2" t="str">
        <f>IFERROR(INDEX('Functional Acceptance'!$L:$L,MATCH($I37,'Functional Acceptance'!$B:$B,0)),"")</f>
        <v>Not Built</v>
      </c>
      <c r="K37" s="7">
        <f>IFERROR(INDEX('Functional Acceptance'!$M:$M,MATCH($I37,'Functional Acceptance'!$B:$B,0)),"")</f>
        <v>0</v>
      </c>
      <c r="L37" s="2">
        <f>IFERROR(INDEX('Functional Acceptance'!$N:$N,MATCH($I37,'Functional Acceptance'!$B:$B,0)),"")</f>
        <v>0</v>
      </c>
      <c r="M37" s="2">
        <f>IFERROR(INDEX('Functional Acceptance'!$O:$O,MATCH($I37,'Functional Acceptance'!$B:$B,0)),"")</f>
        <v>0</v>
      </c>
      <c r="N37" s="2" t="s">
        <v>1075</v>
      </c>
      <c r="O37" s="2"/>
    </row>
    <row r="38" spans="1:15" ht="30" customHeight="1" x14ac:dyDescent="0.25">
      <c r="A38" s="2" t="s">
        <v>192</v>
      </c>
      <c r="B38" s="2" t="s">
        <v>50</v>
      </c>
      <c r="C38" s="2" t="s">
        <v>134</v>
      </c>
      <c r="D38" s="2" t="s">
        <v>109</v>
      </c>
      <c r="E38" s="2" t="s">
        <v>98</v>
      </c>
      <c r="F38" s="2" t="s">
        <v>194</v>
      </c>
      <c r="G38" s="2" t="s">
        <v>1082</v>
      </c>
      <c r="H38" s="2" t="s">
        <v>41</v>
      </c>
      <c r="I38" s="2" t="s">
        <v>191</v>
      </c>
      <c r="J38" s="2" t="str">
        <f>IFERROR(INDEX('Functional Acceptance'!$L:$L,MATCH($I38,'Functional Acceptance'!$B:$B,0)),"")</f>
        <v>Not Built</v>
      </c>
      <c r="K38" s="7">
        <f>IFERROR(INDEX('Functional Acceptance'!$M:$M,MATCH($I38,'Functional Acceptance'!$B:$B,0)),"")</f>
        <v>0</v>
      </c>
      <c r="L38" s="2">
        <f>IFERROR(INDEX('Functional Acceptance'!$N:$N,MATCH($I38,'Functional Acceptance'!$B:$B,0)),"")</f>
        <v>0</v>
      </c>
      <c r="M38" s="2">
        <f>IFERROR(INDEX('Functional Acceptance'!$O:$O,MATCH($I38,'Functional Acceptance'!$B:$B,0)),"")</f>
        <v>0</v>
      </c>
      <c r="N38" s="2" t="s">
        <v>1075</v>
      </c>
      <c r="O38" s="2"/>
    </row>
    <row r="39" spans="1:15" ht="15" customHeight="1" x14ac:dyDescent="0.25">
      <c r="A39" s="2" t="s">
        <v>196</v>
      </c>
      <c r="B39" s="2" t="s">
        <v>50</v>
      </c>
      <c r="C39" s="2" t="s">
        <v>134</v>
      </c>
      <c r="D39" s="2" t="s">
        <v>109</v>
      </c>
      <c r="E39" s="2" t="s">
        <v>98</v>
      </c>
      <c r="F39" s="2" t="s">
        <v>198</v>
      </c>
      <c r="G39" s="2" t="s">
        <v>1082</v>
      </c>
      <c r="H39" s="2" t="s">
        <v>41</v>
      </c>
      <c r="I39" s="2" t="s">
        <v>195</v>
      </c>
      <c r="J39" s="2" t="str">
        <f>IFERROR(INDEX('Functional Acceptance'!$L:$L,MATCH($I39,'Functional Acceptance'!$B:$B,0)),"")</f>
        <v>Not Built</v>
      </c>
      <c r="K39" s="7">
        <f>IFERROR(INDEX('Functional Acceptance'!$M:$M,MATCH($I39,'Functional Acceptance'!$B:$B,0)),"")</f>
        <v>0</v>
      </c>
      <c r="L39" s="2">
        <f>IFERROR(INDEX('Functional Acceptance'!$N:$N,MATCH($I39,'Functional Acceptance'!$B:$B,0)),"")</f>
        <v>0</v>
      </c>
      <c r="M39" s="2">
        <f>IFERROR(INDEX('Functional Acceptance'!$O:$O,MATCH($I39,'Functional Acceptance'!$B:$B,0)),"")</f>
        <v>0</v>
      </c>
      <c r="N39" s="2" t="s">
        <v>1075</v>
      </c>
      <c r="O39" s="2"/>
    </row>
    <row r="40" spans="1:15" ht="15" customHeight="1" x14ac:dyDescent="0.25">
      <c r="A40" s="2" t="s">
        <v>200</v>
      </c>
      <c r="B40" s="2" t="s">
        <v>50</v>
      </c>
      <c r="C40" s="2" t="s">
        <v>134</v>
      </c>
      <c r="D40" s="2" t="s">
        <v>109</v>
      </c>
      <c r="E40" s="2" t="s">
        <v>98</v>
      </c>
      <c r="F40" s="2" t="s">
        <v>202</v>
      </c>
      <c r="G40" s="2" t="s">
        <v>1082</v>
      </c>
      <c r="H40" s="2" t="s">
        <v>41</v>
      </c>
      <c r="I40" s="2" t="s">
        <v>199</v>
      </c>
      <c r="J40" s="2" t="str">
        <f>IFERROR(INDEX('Functional Acceptance'!$L:$L,MATCH($I40,'Functional Acceptance'!$B:$B,0)),"")</f>
        <v>Not Built</v>
      </c>
      <c r="K40" s="7">
        <f>IFERROR(INDEX('Functional Acceptance'!$M:$M,MATCH($I40,'Functional Acceptance'!$B:$B,0)),"")</f>
        <v>0</v>
      </c>
      <c r="L40" s="2">
        <f>IFERROR(INDEX('Functional Acceptance'!$N:$N,MATCH($I40,'Functional Acceptance'!$B:$B,0)),"")</f>
        <v>0</v>
      </c>
      <c r="M40" s="2">
        <f>IFERROR(INDEX('Functional Acceptance'!$O:$O,MATCH($I40,'Functional Acceptance'!$B:$B,0)),"")</f>
        <v>0</v>
      </c>
      <c r="N40" s="2" t="s">
        <v>1075</v>
      </c>
      <c r="O40" s="2"/>
    </row>
    <row r="41" spans="1:15" ht="15" customHeight="1" x14ac:dyDescent="0.25">
      <c r="A41" s="2" t="s">
        <v>204</v>
      </c>
      <c r="B41" s="2" t="s">
        <v>52</v>
      </c>
      <c r="C41" s="2" t="s">
        <v>134</v>
      </c>
      <c r="D41" s="2" t="s">
        <v>109</v>
      </c>
      <c r="E41" s="2" t="s">
        <v>98</v>
      </c>
      <c r="F41" s="2" t="s">
        <v>206</v>
      </c>
      <c r="G41" s="2" t="s">
        <v>1082</v>
      </c>
      <c r="H41" s="2" t="s">
        <v>41</v>
      </c>
      <c r="I41" s="2" t="s">
        <v>203</v>
      </c>
      <c r="J41" s="2" t="str">
        <f>IFERROR(INDEX('Functional Acceptance'!$L:$L,MATCH($I41,'Functional Acceptance'!$B:$B,0)),"")</f>
        <v>Not Built</v>
      </c>
      <c r="K41" s="7">
        <f>IFERROR(INDEX('Functional Acceptance'!$M:$M,MATCH($I41,'Functional Acceptance'!$B:$B,0)),"")</f>
        <v>0</v>
      </c>
      <c r="L41" s="2">
        <f>IFERROR(INDEX('Functional Acceptance'!$N:$N,MATCH($I41,'Functional Acceptance'!$B:$B,0)),"")</f>
        <v>0</v>
      </c>
      <c r="M41" s="2">
        <f>IFERROR(INDEX('Functional Acceptance'!$O:$O,MATCH($I41,'Functional Acceptance'!$B:$B,0)),"")</f>
        <v>0</v>
      </c>
      <c r="N41" s="2" t="s">
        <v>1075</v>
      </c>
      <c r="O41" s="2"/>
    </row>
    <row r="42" spans="1:15" ht="30" customHeight="1" x14ac:dyDescent="0.25">
      <c r="A42" s="2" t="s">
        <v>208</v>
      </c>
      <c r="B42" s="2" t="s">
        <v>52</v>
      </c>
      <c r="C42" s="2" t="s">
        <v>134</v>
      </c>
      <c r="D42" s="2" t="s">
        <v>109</v>
      </c>
      <c r="E42" s="2" t="s">
        <v>98</v>
      </c>
      <c r="F42" s="2" t="s">
        <v>210</v>
      </c>
      <c r="G42" s="2" t="s">
        <v>1082</v>
      </c>
      <c r="H42" s="2" t="s">
        <v>41</v>
      </c>
      <c r="I42" s="2" t="s">
        <v>207</v>
      </c>
      <c r="J42" s="2" t="str">
        <f>IFERROR(INDEX('Functional Acceptance'!$L:$L,MATCH($I42,'Functional Acceptance'!$B:$B,0)),"")</f>
        <v>Not Built</v>
      </c>
      <c r="K42" s="7">
        <f>IFERROR(INDEX('Functional Acceptance'!$M:$M,MATCH($I42,'Functional Acceptance'!$B:$B,0)),"")</f>
        <v>0</v>
      </c>
      <c r="L42" s="2">
        <f>IFERROR(INDEX('Functional Acceptance'!$N:$N,MATCH($I42,'Functional Acceptance'!$B:$B,0)),"")</f>
        <v>0</v>
      </c>
      <c r="M42" s="2">
        <f>IFERROR(INDEX('Functional Acceptance'!$O:$O,MATCH($I42,'Functional Acceptance'!$B:$B,0)),"")</f>
        <v>0</v>
      </c>
      <c r="N42" s="2" t="s">
        <v>1075</v>
      </c>
      <c r="O42" s="2"/>
    </row>
    <row r="43" spans="1:15" ht="15" customHeight="1" x14ac:dyDescent="0.25">
      <c r="A43" s="2" t="s">
        <v>212</v>
      </c>
      <c r="B43" s="2" t="s">
        <v>52</v>
      </c>
      <c r="C43" s="2" t="s">
        <v>134</v>
      </c>
      <c r="D43" s="2" t="s">
        <v>109</v>
      </c>
      <c r="E43" s="2" t="s">
        <v>98</v>
      </c>
      <c r="F43" s="2" t="s">
        <v>214</v>
      </c>
      <c r="G43" s="2" t="s">
        <v>1082</v>
      </c>
      <c r="H43" s="2" t="s">
        <v>41</v>
      </c>
      <c r="I43" s="2" t="s">
        <v>211</v>
      </c>
      <c r="J43" s="2" t="str">
        <f>IFERROR(INDEX('Functional Acceptance'!$L:$L,MATCH($I43,'Functional Acceptance'!$B:$B,0)),"")</f>
        <v>Not Built</v>
      </c>
      <c r="K43" s="7">
        <f>IFERROR(INDEX('Functional Acceptance'!$M:$M,MATCH($I43,'Functional Acceptance'!$B:$B,0)),"")</f>
        <v>0</v>
      </c>
      <c r="L43" s="2">
        <f>IFERROR(INDEX('Functional Acceptance'!$N:$N,MATCH($I43,'Functional Acceptance'!$B:$B,0)),"")</f>
        <v>0</v>
      </c>
      <c r="M43" s="2">
        <f>IFERROR(INDEX('Functional Acceptance'!$O:$O,MATCH($I43,'Functional Acceptance'!$B:$B,0)),"")</f>
        <v>0</v>
      </c>
      <c r="N43" s="2" t="s">
        <v>1075</v>
      </c>
      <c r="O43" s="2"/>
    </row>
    <row r="44" spans="1:15" ht="30" customHeight="1" x14ac:dyDescent="0.25">
      <c r="A44" s="2" t="s">
        <v>216</v>
      </c>
      <c r="B44" s="2" t="s">
        <v>50</v>
      </c>
      <c r="C44" s="2" t="s">
        <v>134</v>
      </c>
      <c r="D44" s="2" t="s">
        <v>109</v>
      </c>
      <c r="E44" s="2" t="s">
        <v>135</v>
      </c>
      <c r="F44" s="2" t="s">
        <v>218</v>
      </c>
      <c r="G44" s="2" t="s">
        <v>1082</v>
      </c>
      <c r="H44" s="2" t="s">
        <v>41</v>
      </c>
      <c r="I44" s="2" t="s">
        <v>215</v>
      </c>
      <c r="J44" s="2" t="str">
        <f>IFERROR(INDEX('Functional Acceptance'!$L:$L,MATCH($I44,'Functional Acceptance'!$B:$B,0)),"")</f>
        <v>Not Built</v>
      </c>
      <c r="K44" s="7">
        <f>IFERROR(INDEX('Functional Acceptance'!$M:$M,MATCH($I44,'Functional Acceptance'!$B:$B,0)),"")</f>
        <v>0</v>
      </c>
      <c r="L44" s="2">
        <f>IFERROR(INDEX('Functional Acceptance'!$N:$N,MATCH($I44,'Functional Acceptance'!$B:$B,0)),"")</f>
        <v>0</v>
      </c>
      <c r="M44" s="2">
        <f>IFERROR(INDEX('Functional Acceptance'!$O:$O,MATCH($I44,'Functional Acceptance'!$B:$B,0)),"")</f>
        <v>0</v>
      </c>
      <c r="N44" s="2" t="s">
        <v>1075</v>
      </c>
      <c r="O44" s="2"/>
    </row>
    <row r="45" spans="1:15" ht="30" customHeight="1" x14ac:dyDescent="0.25">
      <c r="A45" s="2" t="s">
        <v>220</v>
      </c>
      <c r="B45" s="2" t="s">
        <v>50</v>
      </c>
      <c r="C45" s="2" t="s">
        <v>134</v>
      </c>
      <c r="D45" s="2" t="s">
        <v>109</v>
      </c>
      <c r="E45" s="2" t="s">
        <v>141</v>
      </c>
      <c r="F45" s="2" t="s">
        <v>222</v>
      </c>
      <c r="G45" s="2" t="s">
        <v>1082</v>
      </c>
      <c r="H45" s="2" t="s">
        <v>41</v>
      </c>
      <c r="I45" s="2" t="s">
        <v>219</v>
      </c>
      <c r="J45" s="2" t="str">
        <f>IFERROR(INDEX('Functional Acceptance'!$L:$L,MATCH($I45,'Functional Acceptance'!$B:$B,0)),"")</f>
        <v>Not Built</v>
      </c>
      <c r="K45" s="7">
        <f>IFERROR(INDEX('Functional Acceptance'!$M:$M,MATCH($I45,'Functional Acceptance'!$B:$B,0)),"")</f>
        <v>0</v>
      </c>
      <c r="L45" s="2">
        <f>IFERROR(INDEX('Functional Acceptance'!$N:$N,MATCH($I45,'Functional Acceptance'!$B:$B,0)),"")</f>
        <v>0</v>
      </c>
      <c r="M45" s="2">
        <f>IFERROR(INDEX('Functional Acceptance'!$O:$O,MATCH($I45,'Functional Acceptance'!$B:$B,0)),"")</f>
        <v>0</v>
      </c>
      <c r="N45" s="2" t="s">
        <v>1075</v>
      </c>
      <c r="O45" s="2"/>
    </row>
    <row r="46" spans="1:15" ht="30" customHeight="1" x14ac:dyDescent="0.25">
      <c r="A46" s="2" t="s">
        <v>224</v>
      </c>
      <c r="B46" s="2" t="s">
        <v>50</v>
      </c>
      <c r="C46" s="2" t="s">
        <v>134</v>
      </c>
      <c r="D46" s="2" t="s">
        <v>109</v>
      </c>
      <c r="E46" s="2" t="s">
        <v>98</v>
      </c>
      <c r="F46" s="2" t="s">
        <v>227</v>
      </c>
      <c r="G46" s="2" t="s">
        <v>1082</v>
      </c>
      <c r="H46" s="2" t="s">
        <v>41</v>
      </c>
      <c r="I46" s="2" t="s">
        <v>223</v>
      </c>
      <c r="J46" s="2" t="str">
        <f>IFERROR(INDEX('Functional Acceptance'!$L:$L,MATCH($I46,'Functional Acceptance'!$B:$B,0)),"")</f>
        <v>Not Built</v>
      </c>
      <c r="K46" s="7">
        <f>IFERROR(INDEX('Functional Acceptance'!$M:$M,MATCH($I46,'Functional Acceptance'!$B:$B,0)),"")</f>
        <v>0</v>
      </c>
      <c r="L46" s="2">
        <f>IFERROR(INDEX('Functional Acceptance'!$N:$N,MATCH($I46,'Functional Acceptance'!$B:$B,0)),"")</f>
        <v>0</v>
      </c>
      <c r="M46" s="2">
        <f>IFERROR(INDEX('Functional Acceptance'!$O:$O,MATCH($I46,'Functional Acceptance'!$B:$B,0)),"")</f>
        <v>0</v>
      </c>
      <c r="N46" s="2" t="s">
        <v>1075</v>
      </c>
      <c r="O46" s="2"/>
    </row>
    <row r="47" spans="1:15" ht="30" customHeight="1" x14ac:dyDescent="0.25">
      <c r="A47" s="2" t="s">
        <v>229</v>
      </c>
      <c r="B47" s="2" t="s">
        <v>50</v>
      </c>
      <c r="C47" s="2" t="s">
        <v>134</v>
      </c>
      <c r="D47" s="2" t="s">
        <v>109</v>
      </c>
      <c r="E47" s="2" t="s">
        <v>98</v>
      </c>
      <c r="F47" s="2" t="s">
        <v>231</v>
      </c>
      <c r="G47" s="2" t="s">
        <v>1082</v>
      </c>
      <c r="H47" s="2" t="s">
        <v>41</v>
      </c>
      <c r="I47" s="2" t="s">
        <v>228</v>
      </c>
      <c r="J47" s="2" t="str">
        <f>IFERROR(INDEX('Functional Acceptance'!$L:$L,MATCH($I47,'Functional Acceptance'!$B:$B,0)),"")</f>
        <v>Not Built</v>
      </c>
      <c r="K47" s="7">
        <f>IFERROR(INDEX('Functional Acceptance'!$M:$M,MATCH($I47,'Functional Acceptance'!$B:$B,0)),"")</f>
        <v>0</v>
      </c>
      <c r="L47" s="2">
        <f>IFERROR(INDEX('Functional Acceptance'!$N:$N,MATCH($I47,'Functional Acceptance'!$B:$B,0)),"")</f>
        <v>0</v>
      </c>
      <c r="M47" s="2">
        <f>IFERROR(INDEX('Functional Acceptance'!$O:$O,MATCH($I47,'Functional Acceptance'!$B:$B,0)),"")</f>
        <v>0</v>
      </c>
      <c r="N47" s="2" t="s">
        <v>1075</v>
      </c>
      <c r="O47" s="2"/>
    </row>
    <row r="48" spans="1:15" ht="30" customHeight="1" x14ac:dyDescent="0.25">
      <c r="A48" s="2" t="s">
        <v>233</v>
      </c>
      <c r="B48" s="2" t="s">
        <v>50</v>
      </c>
      <c r="C48" s="2" t="s">
        <v>134</v>
      </c>
      <c r="D48" s="2" t="s">
        <v>234</v>
      </c>
      <c r="E48" s="2" t="s">
        <v>98</v>
      </c>
      <c r="F48" s="2" t="s">
        <v>236</v>
      </c>
      <c r="G48" s="2" t="s">
        <v>1082</v>
      </c>
      <c r="H48" s="2" t="s">
        <v>41</v>
      </c>
      <c r="I48" s="2" t="s">
        <v>232</v>
      </c>
      <c r="J48" s="2" t="str">
        <f>IFERROR(INDEX('Functional Acceptance'!$L:$L,MATCH($I48,'Functional Acceptance'!$B:$B,0)),"")</f>
        <v>Not Built</v>
      </c>
      <c r="K48" s="7">
        <f>IFERROR(INDEX('Functional Acceptance'!$M:$M,MATCH($I48,'Functional Acceptance'!$B:$B,0)),"")</f>
        <v>0</v>
      </c>
      <c r="L48" s="2">
        <f>IFERROR(INDEX('Functional Acceptance'!$N:$N,MATCH($I48,'Functional Acceptance'!$B:$B,0)),"")</f>
        <v>0</v>
      </c>
      <c r="M48" s="2">
        <f>IFERROR(INDEX('Functional Acceptance'!$O:$O,MATCH($I48,'Functional Acceptance'!$B:$B,0)),"")</f>
        <v>0</v>
      </c>
      <c r="N48" s="2" t="s">
        <v>1075</v>
      </c>
      <c r="O48" s="2"/>
    </row>
    <row r="49" spans="1:15" ht="45" customHeight="1" x14ac:dyDescent="0.25">
      <c r="A49" s="2" t="s">
        <v>238</v>
      </c>
      <c r="B49" s="2" t="s">
        <v>50</v>
      </c>
      <c r="C49" s="2" t="s">
        <v>134</v>
      </c>
      <c r="D49" s="2" t="s">
        <v>234</v>
      </c>
      <c r="E49" s="2" t="s">
        <v>98</v>
      </c>
      <c r="F49" s="2" t="s">
        <v>240</v>
      </c>
      <c r="G49" s="2" t="s">
        <v>1082</v>
      </c>
      <c r="H49" s="2" t="s">
        <v>41</v>
      </c>
      <c r="I49" s="2" t="s">
        <v>237</v>
      </c>
      <c r="J49" s="2" t="str">
        <f>IFERROR(INDEX('Functional Acceptance'!$L:$L,MATCH($I49,'Functional Acceptance'!$B:$B,0)),"")</f>
        <v>Not Built</v>
      </c>
      <c r="K49" s="7">
        <f>IFERROR(INDEX('Functional Acceptance'!$M:$M,MATCH($I49,'Functional Acceptance'!$B:$B,0)),"")</f>
        <v>0</v>
      </c>
      <c r="L49" s="2">
        <f>IFERROR(INDEX('Functional Acceptance'!$N:$N,MATCH($I49,'Functional Acceptance'!$B:$B,0)),"")</f>
        <v>0</v>
      </c>
      <c r="M49" s="2">
        <f>IFERROR(INDEX('Functional Acceptance'!$O:$O,MATCH($I49,'Functional Acceptance'!$B:$B,0)),"")</f>
        <v>0</v>
      </c>
      <c r="N49" s="2" t="s">
        <v>1075</v>
      </c>
      <c r="O49" s="2"/>
    </row>
    <row r="50" spans="1:15" ht="60" customHeight="1" x14ac:dyDescent="0.25">
      <c r="A50" s="2" t="s">
        <v>242</v>
      </c>
      <c r="B50" s="2" t="s">
        <v>50</v>
      </c>
      <c r="C50" s="2" t="s">
        <v>134</v>
      </c>
      <c r="D50" s="2" t="s">
        <v>109</v>
      </c>
      <c r="E50" s="2" t="s">
        <v>98</v>
      </c>
      <c r="F50" s="2" t="s">
        <v>244</v>
      </c>
      <c r="G50" s="2" t="s">
        <v>1082</v>
      </c>
      <c r="H50" s="2" t="s">
        <v>41</v>
      </c>
      <c r="I50" s="2" t="s">
        <v>241</v>
      </c>
      <c r="J50" s="2" t="str">
        <f>IFERROR(INDEX('Functional Acceptance'!$L:$L,MATCH($I50,'Functional Acceptance'!$B:$B,0)),"")</f>
        <v>Not Built</v>
      </c>
      <c r="K50" s="7">
        <f>IFERROR(INDEX('Functional Acceptance'!$M:$M,MATCH($I50,'Functional Acceptance'!$B:$B,0)),"")</f>
        <v>0</v>
      </c>
      <c r="L50" s="2">
        <f>IFERROR(INDEX('Functional Acceptance'!$N:$N,MATCH($I50,'Functional Acceptance'!$B:$B,0)),"")</f>
        <v>0</v>
      </c>
      <c r="M50" s="2">
        <f>IFERROR(INDEX('Functional Acceptance'!$O:$O,MATCH($I50,'Functional Acceptance'!$B:$B,0)),"")</f>
        <v>0</v>
      </c>
      <c r="N50" s="2" t="s">
        <v>1075</v>
      </c>
      <c r="O50" s="2"/>
    </row>
    <row r="51" spans="1:15" ht="15" customHeight="1" x14ac:dyDescent="0.25">
      <c r="A51" s="2" t="s">
        <v>246</v>
      </c>
      <c r="B51" s="2" t="s">
        <v>50</v>
      </c>
      <c r="C51" s="2" t="s">
        <v>247</v>
      </c>
      <c r="D51" s="2" t="s">
        <v>97</v>
      </c>
      <c r="E51" s="2" t="s">
        <v>135</v>
      </c>
      <c r="F51" s="2" t="s">
        <v>249</v>
      </c>
      <c r="G51" s="2" t="s">
        <v>1082</v>
      </c>
      <c r="H51" s="2" t="s">
        <v>41</v>
      </c>
      <c r="I51" s="2" t="s">
        <v>245</v>
      </c>
      <c r="J51" s="2" t="str">
        <f>IFERROR(INDEX('Functional Acceptance'!$L:$L,MATCH($I51,'Functional Acceptance'!$B:$B,0)),"")</f>
        <v>Not Built</v>
      </c>
      <c r="K51" s="7">
        <f>IFERROR(INDEX('Functional Acceptance'!$M:$M,MATCH($I51,'Functional Acceptance'!$B:$B,0)),"")</f>
        <v>0</v>
      </c>
      <c r="L51" s="2">
        <f>IFERROR(INDEX('Functional Acceptance'!$N:$N,MATCH($I51,'Functional Acceptance'!$B:$B,0)),"")</f>
        <v>0</v>
      </c>
      <c r="M51" s="2">
        <f>IFERROR(INDEX('Functional Acceptance'!$O:$O,MATCH($I51,'Functional Acceptance'!$B:$B,0)),"")</f>
        <v>0</v>
      </c>
      <c r="N51" s="2" t="s">
        <v>1075</v>
      </c>
      <c r="O51" s="2"/>
    </row>
    <row r="52" spans="1:15" ht="60" customHeight="1" x14ac:dyDescent="0.25">
      <c r="A52" s="2" t="s">
        <v>252</v>
      </c>
      <c r="B52" s="2" t="s">
        <v>50</v>
      </c>
      <c r="C52" s="2" t="s">
        <v>247</v>
      </c>
      <c r="D52" s="2" t="s">
        <v>97</v>
      </c>
      <c r="E52" s="2" t="s">
        <v>98</v>
      </c>
      <c r="F52" s="2" t="s">
        <v>254</v>
      </c>
      <c r="G52" s="2" t="s">
        <v>1082</v>
      </c>
      <c r="H52" s="2" t="s">
        <v>41</v>
      </c>
      <c r="I52" s="2" t="s">
        <v>251</v>
      </c>
      <c r="J52" s="2" t="str">
        <f>IFERROR(INDEX('Functional Acceptance'!$L:$L,MATCH($I52,'Functional Acceptance'!$B:$B,0)),"")</f>
        <v>Not Built</v>
      </c>
      <c r="K52" s="7">
        <f>IFERROR(INDEX('Functional Acceptance'!$M:$M,MATCH($I52,'Functional Acceptance'!$B:$B,0)),"")</f>
        <v>0</v>
      </c>
      <c r="L52" s="2">
        <f>IFERROR(INDEX('Functional Acceptance'!$N:$N,MATCH($I52,'Functional Acceptance'!$B:$B,0)),"")</f>
        <v>0</v>
      </c>
      <c r="M52" s="2">
        <f>IFERROR(INDEX('Functional Acceptance'!$O:$O,MATCH($I52,'Functional Acceptance'!$B:$B,0)),"")</f>
        <v>0</v>
      </c>
      <c r="N52" s="2" t="s">
        <v>1075</v>
      </c>
      <c r="O52" s="2"/>
    </row>
    <row r="53" spans="1:15" ht="30" customHeight="1" x14ac:dyDescent="0.25">
      <c r="A53" s="2" t="s">
        <v>256</v>
      </c>
      <c r="B53" s="2" t="s">
        <v>50</v>
      </c>
      <c r="C53" s="2" t="s">
        <v>247</v>
      </c>
      <c r="D53" s="2" t="s">
        <v>97</v>
      </c>
      <c r="E53" s="2" t="s">
        <v>98</v>
      </c>
      <c r="F53" s="2" t="s">
        <v>258</v>
      </c>
      <c r="G53" s="2" t="s">
        <v>1082</v>
      </c>
      <c r="H53" s="2" t="s">
        <v>41</v>
      </c>
      <c r="I53" s="2" t="s">
        <v>255</v>
      </c>
      <c r="J53" s="2" t="str">
        <f>IFERROR(INDEX('Functional Acceptance'!$L:$L,MATCH($I53,'Functional Acceptance'!$B:$B,0)),"")</f>
        <v>Not Built</v>
      </c>
      <c r="K53" s="7">
        <f>IFERROR(INDEX('Functional Acceptance'!$M:$M,MATCH($I53,'Functional Acceptance'!$B:$B,0)),"")</f>
        <v>0</v>
      </c>
      <c r="L53" s="2">
        <f>IFERROR(INDEX('Functional Acceptance'!$N:$N,MATCH($I53,'Functional Acceptance'!$B:$B,0)),"")</f>
        <v>0</v>
      </c>
      <c r="M53" s="2">
        <f>IFERROR(INDEX('Functional Acceptance'!$O:$O,MATCH($I53,'Functional Acceptance'!$B:$B,0)),"")</f>
        <v>0</v>
      </c>
      <c r="N53" s="2" t="s">
        <v>1075</v>
      </c>
      <c r="O53" s="2"/>
    </row>
    <row r="54" spans="1:15" ht="30" customHeight="1" x14ac:dyDescent="0.25">
      <c r="A54" s="2" t="s">
        <v>260</v>
      </c>
      <c r="B54" s="2" t="s">
        <v>50</v>
      </c>
      <c r="C54" s="2" t="s">
        <v>247</v>
      </c>
      <c r="D54" s="2" t="s">
        <v>97</v>
      </c>
      <c r="E54" s="2" t="s">
        <v>98</v>
      </c>
      <c r="F54" s="2" t="s">
        <v>262</v>
      </c>
      <c r="G54" s="2" t="s">
        <v>1082</v>
      </c>
      <c r="H54" s="2" t="s">
        <v>41</v>
      </c>
      <c r="I54" s="2" t="s">
        <v>259</v>
      </c>
      <c r="J54" s="2" t="str">
        <f>IFERROR(INDEX('Functional Acceptance'!$L:$L,MATCH($I54,'Functional Acceptance'!$B:$B,0)),"")</f>
        <v>Not Built</v>
      </c>
      <c r="K54" s="7">
        <f>IFERROR(INDEX('Functional Acceptance'!$M:$M,MATCH($I54,'Functional Acceptance'!$B:$B,0)),"")</f>
        <v>0</v>
      </c>
      <c r="L54" s="2">
        <f>IFERROR(INDEX('Functional Acceptance'!$N:$N,MATCH($I54,'Functional Acceptance'!$B:$B,0)),"")</f>
        <v>0</v>
      </c>
      <c r="M54" s="2">
        <f>IFERROR(INDEX('Functional Acceptance'!$O:$O,MATCH($I54,'Functional Acceptance'!$B:$B,0)),"")</f>
        <v>0</v>
      </c>
      <c r="N54" s="2" t="s">
        <v>1075</v>
      </c>
      <c r="O54" s="2"/>
    </row>
    <row r="55" spans="1:15" ht="15" customHeight="1" x14ac:dyDescent="0.25">
      <c r="A55" s="2" t="s">
        <v>264</v>
      </c>
      <c r="B55" s="2" t="s">
        <v>52</v>
      </c>
      <c r="C55" s="2" t="s">
        <v>247</v>
      </c>
      <c r="D55" s="2" t="s">
        <v>109</v>
      </c>
      <c r="E55" s="2" t="s">
        <v>98</v>
      </c>
      <c r="F55" s="2" t="s">
        <v>266</v>
      </c>
      <c r="G55" s="2" t="s">
        <v>1082</v>
      </c>
      <c r="H55" s="2" t="s">
        <v>41</v>
      </c>
      <c r="I55" s="2" t="s">
        <v>263</v>
      </c>
      <c r="J55" s="2" t="str">
        <f>IFERROR(INDEX('Functional Acceptance'!$L:$L,MATCH($I55,'Functional Acceptance'!$B:$B,0)),"")</f>
        <v>Not Built</v>
      </c>
      <c r="K55" s="7">
        <f>IFERROR(INDEX('Functional Acceptance'!$M:$M,MATCH($I55,'Functional Acceptance'!$B:$B,0)),"")</f>
        <v>0</v>
      </c>
      <c r="L55" s="2">
        <f>IFERROR(INDEX('Functional Acceptance'!$N:$N,MATCH($I55,'Functional Acceptance'!$B:$B,0)),"")</f>
        <v>0</v>
      </c>
      <c r="M55" s="2">
        <f>IFERROR(INDEX('Functional Acceptance'!$O:$O,MATCH($I55,'Functional Acceptance'!$B:$B,0)),"")</f>
        <v>0</v>
      </c>
      <c r="N55" s="2" t="s">
        <v>1075</v>
      </c>
      <c r="O55" s="2"/>
    </row>
    <row r="56" spans="1:15" ht="15" customHeight="1" x14ac:dyDescent="0.25">
      <c r="A56" s="2" t="s">
        <v>268</v>
      </c>
      <c r="B56" s="2" t="s">
        <v>54</v>
      </c>
      <c r="C56" s="2" t="s">
        <v>247</v>
      </c>
      <c r="D56" s="2" t="s">
        <v>109</v>
      </c>
      <c r="E56" s="2" t="s">
        <v>98</v>
      </c>
      <c r="F56" s="2" t="s">
        <v>270</v>
      </c>
      <c r="G56" s="2" t="s">
        <v>1082</v>
      </c>
      <c r="H56" s="2" t="s">
        <v>41</v>
      </c>
      <c r="I56" s="2" t="s">
        <v>267</v>
      </c>
      <c r="J56" s="2" t="str">
        <f>IFERROR(INDEX('Functional Acceptance'!$L:$L,MATCH($I56,'Functional Acceptance'!$B:$B,0)),"")</f>
        <v>Not Built</v>
      </c>
      <c r="K56" s="7">
        <f>IFERROR(INDEX('Functional Acceptance'!$M:$M,MATCH($I56,'Functional Acceptance'!$B:$B,0)),"")</f>
        <v>0</v>
      </c>
      <c r="L56" s="2">
        <f>IFERROR(INDEX('Functional Acceptance'!$N:$N,MATCH($I56,'Functional Acceptance'!$B:$B,0)),"")</f>
        <v>0</v>
      </c>
      <c r="M56" s="2">
        <f>IFERROR(INDEX('Functional Acceptance'!$O:$O,MATCH($I56,'Functional Acceptance'!$B:$B,0)),"")</f>
        <v>0</v>
      </c>
      <c r="N56" s="2" t="s">
        <v>1075</v>
      </c>
      <c r="O56" s="2"/>
    </row>
    <row r="57" spans="1:15" ht="30" customHeight="1" x14ac:dyDescent="0.25">
      <c r="A57" s="2" t="s">
        <v>272</v>
      </c>
      <c r="B57" s="2" t="s">
        <v>50</v>
      </c>
      <c r="C57" s="2" t="s">
        <v>247</v>
      </c>
      <c r="D57" s="2" t="s">
        <v>109</v>
      </c>
      <c r="E57" s="2" t="s">
        <v>98</v>
      </c>
      <c r="F57" s="2" t="s">
        <v>274</v>
      </c>
      <c r="G57" s="2" t="s">
        <v>1082</v>
      </c>
      <c r="H57" s="2" t="s">
        <v>41</v>
      </c>
      <c r="I57" s="2" t="s">
        <v>271</v>
      </c>
      <c r="J57" s="2" t="str">
        <f>IFERROR(INDEX('Functional Acceptance'!$L:$L,MATCH($I57,'Functional Acceptance'!$B:$B,0)),"")</f>
        <v>Not Built</v>
      </c>
      <c r="K57" s="7">
        <f>IFERROR(INDEX('Functional Acceptance'!$M:$M,MATCH($I57,'Functional Acceptance'!$B:$B,0)),"")</f>
        <v>0</v>
      </c>
      <c r="L57" s="2">
        <f>IFERROR(INDEX('Functional Acceptance'!$N:$N,MATCH($I57,'Functional Acceptance'!$B:$B,0)),"")</f>
        <v>0</v>
      </c>
      <c r="M57" s="2">
        <f>IFERROR(INDEX('Functional Acceptance'!$O:$O,MATCH($I57,'Functional Acceptance'!$B:$B,0)),"")</f>
        <v>0</v>
      </c>
      <c r="N57" s="2" t="s">
        <v>1075</v>
      </c>
      <c r="O57" s="2"/>
    </row>
    <row r="58" spans="1:15" ht="15" customHeight="1" x14ac:dyDescent="0.25">
      <c r="A58" s="2" t="s">
        <v>276</v>
      </c>
      <c r="B58" s="2" t="s">
        <v>50</v>
      </c>
      <c r="C58" s="2" t="s">
        <v>247</v>
      </c>
      <c r="D58" s="2" t="s">
        <v>109</v>
      </c>
      <c r="E58" s="2" t="s">
        <v>98</v>
      </c>
      <c r="F58" s="2" t="s">
        <v>278</v>
      </c>
      <c r="G58" s="2" t="s">
        <v>1082</v>
      </c>
      <c r="H58" s="2" t="s">
        <v>41</v>
      </c>
      <c r="I58" s="2" t="s">
        <v>275</v>
      </c>
      <c r="J58" s="2" t="str">
        <f>IFERROR(INDEX('Functional Acceptance'!$L:$L,MATCH($I58,'Functional Acceptance'!$B:$B,0)),"")</f>
        <v>Not Built</v>
      </c>
      <c r="K58" s="7">
        <f>IFERROR(INDEX('Functional Acceptance'!$M:$M,MATCH($I58,'Functional Acceptance'!$B:$B,0)),"")</f>
        <v>0</v>
      </c>
      <c r="L58" s="2">
        <f>IFERROR(INDEX('Functional Acceptance'!$N:$N,MATCH($I58,'Functional Acceptance'!$B:$B,0)),"")</f>
        <v>0</v>
      </c>
      <c r="M58" s="2">
        <f>IFERROR(INDEX('Functional Acceptance'!$O:$O,MATCH($I58,'Functional Acceptance'!$B:$B,0)),"")</f>
        <v>0</v>
      </c>
      <c r="N58" s="2" t="s">
        <v>1075</v>
      </c>
      <c r="O58" s="2"/>
    </row>
    <row r="59" spans="1:15" ht="15" customHeight="1" x14ac:dyDescent="0.25">
      <c r="A59" s="2" t="s">
        <v>280</v>
      </c>
      <c r="B59" s="2" t="s">
        <v>50</v>
      </c>
      <c r="C59" s="2" t="s">
        <v>247</v>
      </c>
      <c r="D59" s="2" t="s">
        <v>109</v>
      </c>
      <c r="E59" s="2" t="s">
        <v>98</v>
      </c>
      <c r="F59" s="2" t="s">
        <v>282</v>
      </c>
      <c r="G59" s="2" t="s">
        <v>1082</v>
      </c>
      <c r="H59" s="2" t="s">
        <v>41</v>
      </c>
      <c r="I59" s="2" t="s">
        <v>279</v>
      </c>
      <c r="J59" s="2" t="str">
        <f>IFERROR(INDEX('Functional Acceptance'!$L:$L,MATCH($I59,'Functional Acceptance'!$B:$B,0)),"")</f>
        <v>Not Built</v>
      </c>
      <c r="K59" s="7">
        <f>IFERROR(INDEX('Functional Acceptance'!$M:$M,MATCH($I59,'Functional Acceptance'!$B:$B,0)),"")</f>
        <v>0</v>
      </c>
      <c r="L59" s="2">
        <f>IFERROR(INDEX('Functional Acceptance'!$N:$N,MATCH($I59,'Functional Acceptance'!$B:$B,0)),"")</f>
        <v>0</v>
      </c>
      <c r="M59" s="2">
        <f>IFERROR(INDEX('Functional Acceptance'!$O:$O,MATCH($I59,'Functional Acceptance'!$B:$B,0)),"")</f>
        <v>0</v>
      </c>
      <c r="N59" s="2" t="s">
        <v>1075</v>
      </c>
      <c r="O59" s="2"/>
    </row>
    <row r="60" spans="1:15" ht="45" customHeight="1" x14ac:dyDescent="0.25">
      <c r="A60" s="2" t="s">
        <v>284</v>
      </c>
      <c r="B60" s="2" t="s">
        <v>50</v>
      </c>
      <c r="C60" s="2" t="s">
        <v>247</v>
      </c>
      <c r="D60" s="2" t="s">
        <v>97</v>
      </c>
      <c r="E60" s="2" t="s">
        <v>141</v>
      </c>
      <c r="F60" s="2" t="s">
        <v>286</v>
      </c>
      <c r="G60" s="2" t="s">
        <v>1082</v>
      </c>
      <c r="H60" s="2" t="s">
        <v>41</v>
      </c>
      <c r="I60" s="2" t="s">
        <v>283</v>
      </c>
      <c r="J60" s="2" t="str">
        <f>IFERROR(INDEX('Functional Acceptance'!$L:$L,MATCH($I60,'Functional Acceptance'!$B:$B,0)),"")</f>
        <v>Not Built</v>
      </c>
      <c r="K60" s="7">
        <f>IFERROR(INDEX('Functional Acceptance'!$M:$M,MATCH($I60,'Functional Acceptance'!$B:$B,0)),"")</f>
        <v>0</v>
      </c>
      <c r="L60" s="2">
        <f>IFERROR(INDEX('Functional Acceptance'!$N:$N,MATCH($I60,'Functional Acceptance'!$B:$B,0)),"")</f>
        <v>0</v>
      </c>
      <c r="M60" s="2">
        <f>IFERROR(INDEX('Functional Acceptance'!$O:$O,MATCH($I60,'Functional Acceptance'!$B:$B,0)),"")</f>
        <v>0</v>
      </c>
      <c r="N60" s="2" t="s">
        <v>1075</v>
      </c>
      <c r="O60" s="2"/>
    </row>
    <row r="61" spans="1:15" ht="45" customHeight="1" x14ac:dyDescent="0.25">
      <c r="A61" s="2" t="s">
        <v>288</v>
      </c>
      <c r="B61" s="2" t="s">
        <v>52</v>
      </c>
      <c r="C61" s="2" t="s">
        <v>247</v>
      </c>
      <c r="D61" s="2" t="s">
        <v>234</v>
      </c>
      <c r="E61" s="2" t="s">
        <v>98</v>
      </c>
      <c r="F61" s="2" t="s">
        <v>290</v>
      </c>
      <c r="G61" s="2" t="s">
        <v>1082</v>
      </c>
      <c r="H61" s="2" t="s">
        <v>41</v>
      </c>
      <c r="I61" s="2" t="s">
        <v>287</v>
      </c>
      <c r="J61" s="2" t="str">
        <f>IFERROR(INDEX('Functional Acceptance'!$L:$L,MATCH($I61,'Functional Acceptance'!$B:$B,0)),"")</f>
        <v>Not Built</v>
      </c>
      <c r="K61" s="7">
        <f>IFERROR(INDEX('Functional Acceptance'!$M:$M,MATCH($I61,'Functional Acceptance'!$B:$B,0)),"")</f>
        <v>0</v>
      </c>
      <c r="L61" s="2">
        <f>IFERROR(INDEX('Functional Acceptance'!$N:$N,MATCH($I61,'Functional Acceptance'!$B:$B,0)),"")</f>
        <v>0</v>
      </c>
      <c r="M61" s="2">
        <f>IFERROR(INDEX('Functional Acceptance'!$O:$O,MATCH($I61,'Functional Acceptance'!$B:$B,0)),"")</f>
        <v>0</v>
      </c>
      <c r="N61" s="2" t="s">
        <v>1075</v>
      </c>
      <c r="O61" s="2"/>
    </row>
    <row r="62" spans="1:15" ht="45" customHeight="1" x14ac:dyDescent="0.25">
      <c r="A62" s="2" t="s">
        <v>292</v>
      </c>
      <c r="B62" s="2" t="s">
        <v>54</v>
      </c>
      <c r="C62" s="2" t="s">
        <v>247</v>
      </c>
      <c r="D62" s="2" t="s">
        <v>234</v>
      </c>
      <c r="E62" s="2" t="s">
        <v>98</v>
      </c>
      <c r="F62" s="2" t="s">
        <v>294</v>
      </c>
      <c r="G62" s="2" t="s">
        <v>1082</v>
      </c>
      <c r="H62" s="2" t="s">
        <v>41</v>
      </c>
      <c r="I62" s="2" t="s">
        <v>291</v>
      </c>
      <c r="J62" s="2" t="str">
        <f>IFERROR(INDEX('Functional Acceptance'!$L:$L,MATCH($I62,'Functional Acceptance'!$B:$B,0)),"")</f>
        <v>Not Built</v>
      </c>
      <c r="K62" s="7">
        <f>IFERROR(INDEX('Functional Acceptance'!$M:$M,MATCH($I62,'Functional Acceptance'!$B:$B,0)),"")</f>
        <v>0</v>
      </c>
      <c r="L62" s="2">
        <f>IFERROR(INDEX('Functional Acceptance'!$N:$N,MATCH($I62,'Functional Acceptance'!$B:$B,0)),"")</f>
        <v>0</v>
      </c>
      <c r="M62" s="2">
        <f>IFERROR(INDEX('Functional Acceptance'!$O:$O,MATCH($I62,'Functional Acceptance'!$B:$B,0)),"")</f>
        <v>0</v>
      </c>
      <c r="N62" s="2" t="s">
        <v>1075</v>
      </c>
      <c r="O62" s="2"/>
    </row>
    <row r="63" spans="1:15" ht="15" customHeight="1" x14ac:dyDescent="0.25">
      <c r="A63" s="2" t="s">
        <v>296</v>
      </c>
      <c r="B63" s="2" t="s">
        <v>50</v>
      </c>
      <c r="C63" s="2" t="s">
        <v>297</v>
      </c>
      <c r="D63" s="2" t="s">
        <v>97</v>
      </c>
      <c r="E63" s="2" t="s">
        <v>98</v>
      </c>
      <c r="F63" s="2" t="s">
        <v>299</v>
      </c>
      <c r="G63" s="2" t="s">
        <v>1082</v>
      </c>
      <c r="H63" s="2" t="s">
        <v>41</v>
      </c>
      <c r="I63" s="2" t="s">
        <v>295</v>
      </c>
      <c r="J63" s="2" t="str">
        <f>IFERROR(INDEX('Functional Acceptance'!$L:$L,MATCH($I63,'Functional Acceptance'!$B:$B,0)),"")</f>
        <v>Not Built</v>
      </c>
      <c r="K63" s="7">
        <f>IFERROR(INDEX('Functional Acceptance'!$M:$M,MATCH($I63,'Functional Acceptance'!$B:$B,0)),"")</f>
        <v>0</v>
      </c>
      <c r="L63" s="2">
        <f>IFERROR(INDEX('Functional Acceptance'!$N:$N,MATCH($I63,'Functional Acceptance'!$B:$B,0)),"")</f>
        <v>0</v>
      </c>
      <c r="M63" s="2">
        <f>IFERROR(INDEX('Functional Acceptance'!$O:$O,MATCH($I63,'Functional Acceptance'!$B:$B,0)),"")</f>
        <v>0</v>
      </c>
      <c r="N63" s="2" t="s">
        <v>1075</v>
      </c>
      <c r="O63" s="2"/>
    </row>
    <row r="64" spans="1:15" ht="15" customHeight="1" x14ac:dyDescent="0.25">
      <c r="A64" s="2" t="s">
        <v>301</v>
      </c>
      <c r="B64" s="2" t="s">
        <v>50</v>
      </c>
      <c r="C64" s="2" t="s">
        <v>297</v>
      </c>
      <c r="D64" s="2" t="s">
        <v>302</v>
      </c>
      <c r="E64" s="2" t="s">
        <v>98</v>
      </c>
      <c r="F64" s="2" t="s">
        <v>304</v>
      </c>
      <c r="G64" s="2" t="s">
        <v>1082</v>
      </c>
      <c r="H64" s="2" t="s">
        <v>41</v>
      </c>
      <c r="I64" s="2" t="s">
        <v>300</v>
      </c>
      <c r="J64" s="2" t="str">
        <f>IFERROR(INDEX('Functional Acceptance'!$L:$L,MATCH($I64,'Functional Acceptance'!$B:$B,0)),"")</f>
        <v>Not Built</v>
      </c>
      <c r="K64" s="7">
        <f>IFERROR(INDEX('Functional Acceptance'!$M:$M,MATCH($I64,'Functional Acceptance'!$B:$B,0)),"")</f>
        <v>0</v>
      </c>
      <c r="L64" s="2">
        <f>IFERROR(INDEX('Functional Acceptance'!$N:$N,MATCH($I64,'Functional Acceptance'!$B:$B,0)),"")</f>
        <v>0</v>
      </c>
      <c r="M64" s="2">
        <f>IFERROR(INDEX('Functional Acceptance'!$O:$O,MATCH($I64,'Functional Acceptance'!$B:$B,0)),"")</f>
        <v>0</v>
      </c>
      <c r="N64" s="2" t="s">
        <v>1075</v>
      </c>
      <c r="O64" s="2"/>
    </row>
    <row r="65" spans="1:15" ht="15" customHeight="1" x14ac:dyDescent="0.25">
      <c r="A65" s="2" t="s">
        <v>306</v>
      </c>
      <c r="B65" s="2" t="s">
        <v>50</v>
      </c>
      <c r="C65" s="2" t="s">
        <v>297</v>
      </c>
      <c r="D65" s="2" t="s">
        <v>302</v>
      </c>
      <c r="E65" s="2" t="s">
        <v>98</v>
      </c>
      <c r="F65" s="2" t="s">
        <v>308</v>
      </c>
      <c r="G65" s="2" t="s">
        <v>1082</v>
      </c>
      <c r="H65" s="2" t="s">
        <v>41</v>
      </c>
      <c r="I65" s="2" t="s">
        <v>305</v>
      </c>
      <c r="J65" s="2" t="str">
        <f>IFERROR(INDEX('Functional Acceptance'!$L:$L,MATCH($I65,'Functional Acceptance'!$B:$B,0)),"")</f>
        <v>Not Built</v>
      </c>
      <c r="K65" s="7">
        <f>IFERROR(INDEX('Functional Acceptance'!$M:$M,MATCH($I65,'Functional Acceptance'!$B:$B,0)),"")</f>
        <v>0</v>
      </c>
      <c r="L65" s="2">
        <f>IFERROR(INDEX('Functional Acceptance'!$N:$N,MATCH($I65,'Functional Acceptance'!$B:$B,0)),"")</f>
        <v>0</v>
      </c>
      <c r="M65" s="2">
        <f>IFERROR(INDEX('Functional Acceptance'!$O:$O,MATCH($I65,'Functional Acceptance'!$B:$B,0)),"")</f>
        <v>0</v>
      </c>
      <c r="N65" s="2" t="s">
        <v>1075</v>
      </c>
      <c r="O65" s="2"/>
    </row>
    <row r="66" spans="1:15" ht="15" customHeight="1" x14ac:dyDescent="0.25">
      <c r="A66" s="2" t="s">
        <v>310</v>
      </c>
      <c r="B66" s="2" t="s">
        <v>50</v>
      </c>
      <c r="C66" s="2" t="s">
        <v>297</v>
      </c>
      <c r="D66" s="2" t="s">
        <v>302</v>
      </c>
      <c r="E66" s="2" t="s">
        <v>98</v>
      </c>
      <c r="F66" s="2" t="s">
        <v>312</v>
      </c>
      <c r="G66" s="2" t="s">
        <v>1082</v>
      </c>
      <c r="H66" s="2" t="s">
        <v>41</v>
      </c>
      <c r="I66" s="2" t="s">
        <v>309</v>
      </c>
      <c r="J66" s="2" t="str">
        <f>IFERROR(INDEX('Functional Acceptance'!$L:$L,MATCH($I66,'Functional Acceptance'!$B:$B,0)),"")</f>
        <v>Not Built</v>
      </c>
      <c r="K66" s="7">
        <f>IFERROR(INDEX('Functional Acceptance'!$M:$M,MATCH($I66,'Functional Acceptance'!$B:$B,0)),"")</f>
        <v>0</v>
      </c>
      <c r="L66" s="2">
        <f>IFERROR(INDEX('Functional Acceptance'!$N:$N,MATCH($I66,'Functional Acceptance'!$B:$B,0)),"")</f>
        <v>0</v>
      </c>
      <c r="M66" s="2">
        <f>IFERROR(INDEX('Functional Acceptance'!$O:$O,MATCH($I66,'Functional Acceptance'!$B:$B,0)),"")</f>
        <v>0</v>
      </c>
      <c r="N66" s="2" t="s">
        <v>1075</v>
      </c>
      <c r="O66" s="2"/>
    </row>
    <row r="67" spans="1:15" ht="30" customHeight="1" x14ac:dyDescent="0.25">
      <c r="A67" s="2" t="s">
        <v>314</v>
      </c>
      <c r="B67" s="2" t="s">
        <v>50</v>
      </c>
      <c r="C67" s="2" t="s">
        <v>297</v>
      </c>
      <c r="D67" s="2" t="s">
        <v>302</v>
      </c>
      <c r="E67" s="2" t="s">
        <v>98</v>
      </c>
      <c r="F67" s="2" t="s">
        <v>316</v>
      </c>
      <c r="G67" s="2" t="s">
        <v>1082</v>
      </c>
      <c r="H67" s="2" t="s">
        <v>41</v>
      </c>
      <c r="I67" s="2" t="s">
        <v>313</v>
      </c>
      <c r="J67" s="2" t="str">
        <f>IFERROR(INDEX('Functional Acceptance'!$L:$L,MATCH($I67,'Functional Acceptance'!$B:$B,0)),"")</f>
        <v>Not Built</v>
      </c>
      <c r="K67" s="7">
        <f>IFERROR(INDEX('Functional Acceptance'!$M:$M,MATCH($I67,'Functional Acceptance'!$B:$B,0)),"")</f>
        <v>0</v>
      </c>
      <c r="L67" s="2">
        <f>IFERROR(INDEX('Functional Acceptance'!$N:$N,MATCH($I67,'Functional Acceptance'!$B:$B,0)),"")</f>
        <v>0</v>
      </c>
      <c r="M67" s="2">
        <f>IFERROR(INDEX('Functional Acceptance'!$O:$O,MATCH($I67,'Functional Acceptance'!$B:$B,0)),"")</f>
        <v>0</v>
      </c>
      <c r="N67" s="2" t="s">
        <v>1075</v>
      </c>
      <c r="O67" s="2"/>
    </row>
    <row r="68" spans="1:15" ht="15" customHeight="1" x14ac:dyDescent="0.25">
      <c r="A68" s="2" t="s">
        <v>318</v>
      </c>
      <c r="B68" s="2" t="s">
        <v>50</v>
      </c>
      <c r="C68" s="2" t="s">
        <v>297</v>
      </c>
      <c r="D68" s="2" t="s">
        <v>302</v>
      </c>
      <c r="E68" s="2" t="s">
        <v>98</v>
      </c>
      <c r="F68" s="2" t="s">
        <v>320</v>
      </c>
      <c r="G68" s="2" t="s">
        <v>1082</v>
      </c>
      <c r="H68" s="2" t="s">
        <v>41</v>
      </c>
      <c r="I68" s="2" t="s">
        <v>317</v>
      </c>
      <c r="J68" s="2" t="str">
        <f>IFERROR(INDEX('Functional Acceptance'!$L:$L,MATCH($I68,'Functional Acceptance'!$B:$B,0)),"")</f>
        <v>Not Built</v>
      </c>
      <c r="K68" s="7">
        <f>IFERROR(INDEX('Functional Acceptance'!$M:$M,MATCH($I68,'Functional Acceptance'!$B:$B,0)),"")</f>
        <v>0</v>
      </c>
      <c r="L68" s="2">
        <f>IFERROR(INDEX('Functional Acceptance'!$N:$N,MATCH($I68,'Functional Acceptance'!$B:$B,0)),"")</f>
        <v>0</v>
      </c>
      <c r="M68" s="2">
        <f>IFERROR(INDEX('Functional Acceptance'!$O:$O,MATCH($I68,'Functional Acceptance'!$B:$B,0)),"")</f>
        <v>0</v>
      </c>
      <c r="N68" s="2" t="s">
        <v>1075</v>
      </c>
      <c r="O68" s="2"/>
    </row>
    <row r="69" spans="1:15" ht="15" customHeight="1" x14ac:dyDescent="0.25">
      <c r="A69" s="2" t="s">
        <v>322</v>
      </c>
      <c r="B69" s="2" t="s">
        <v>50</v>
      </c>
      <c r="C69" s="2" t="s">
        <v>297</v>
      </c>
      <c r="D69" s="2" t="s">
        <v>109</v>
      </c>
      <c r="E69" s="2" t="s">
        <v>98</v>
      </c>
      <c r="F69" s="2" t="s">
        <v>324</v>
      </c>
      <c r="G69" s="2" t="s">
        <v>1082</v>
      </c>
      <c r="H69" s="2" t="s">
        <v>41</v>
      </c>
      <c r="I69" s="2" t="s">
        <v>321</v>
      </c>
      <c r="J69" s="2" t="str">
        <f>IFERROR(INDEX('Functional Acceptance'!$L:$L,MATCH($I69,'Functional Acceptance'!$B:$B,0)),"")</f>
        <v>Not Built</v>
      </c>
      <c r="K69" s="7">
        <f>IFERROR(INDEX('Functional Acceptance'!$M:$M,MATCH($I69,'Functional Acceptance'!$B:$B,0)),"")</f>
        <v>0</v>
      </c>
      <c r="L69" s="2">
        <f>IFERROR(INDEX('Functional Acceptance'!$N:$N,MATCH($I69,'Functional Acceptance'!$B:$B,0)),"")</f>
        <v>0</v>
      </c>
      <c r="M69" s="2">
        <f>IFERROR(INDEX('Functional Acceptance'!$O:$O,MATCH($I69,'Functional Acceptance'!$B:$B,0)),"")</f>
        <v>0</v>
      </c>
      <c r="N69" s="2" t="s">
        <v>1075</v>
      </c>
      <c r="O69" s="2"/>
    </row>
    <row r="70" spans="1:15" ht="30" customHeight="1" x14ac:dyDescent="0.25">
      <c r="A70" s="2" t="s">
        <v>326</v>
      </c>
      <c r="B70" s="2" t="s">
        <v>50</v>
      </c>
      <c r="C70" s="2" t="s">
        <v>297</v>
      </c>
      <c r="D70" s="2" t="s">
        <v>109</v>
      </c>
      <c r="E70" s="2" t="s">
        <v>98</v>
      </c>
      <c r="F70" s="2" t="s">
        <v>328</v>
      </c>
      <c r="G70" s="2" t="s">
        <v>1082</v>
      </c>
      <c r="H70" s="2" t="s">
        <v>41</v>
      </c>
      <c r="I70" s="2" t="s">
        <v>325</v>
      </c>
      <c r="J70" s="2" t="str">
        <f>IFERROR(INDEX('Functional Acceptance'!$L:$L,MATCH($I70,'Functional Acceptance'!$B:$B,0)),"")</f>
        <v>Not Built</v>
      </c>
      <c r="K70" s="7">
        <f>IFERROR(INDEX('Functional Acceptance'!$M:$M,MATCH($I70,'Functional Acceptance'!$B:$B,0)),"")</f>
        <v>0</v>
      </c>
      <c r="L70" s="2">
        <f>IFERROR(INDEX('Functional Acceptance'!$N:$N,MATCH($I70,'Functional Acceptance'!$B:$B,0)),"")</f>
        <v>0</v>
      </c>
      <c r="M70" s="2">
        <f>IFERROR(INDEX('Functional Acceptance'!$O:$O,MATCH($I70,'Functional Acceptance'!$B:$B,0)),"")</f>
        <v>0</v>
      </c>
      <c r="N70" s="2" t="s">
        <v>1075</v>
      </c>
      <c r="O70" s="2"/>
    </row>
    <row r="71" spans="1:15" ht="15" customHeight="1" x14ac:dyDescent="0.25">
      <c r="A71" s="2" t="s">
        <v>330</v>
      </c>
      <c r="B71" s="2" t="s">
        <v>50</v>
      </c>
      <c r="C71" s="2" t="s">
        <v>297</v>
      </c>
      <c r="D71" s="2" t="s">
        <v>109</v>
      </c>
      <c r="E71" s="2" t="s">
        <v>98</v>
      </c>
      <c r="F71" s="2" t="s">
        <v>332</v>
      </c>
      <c r="G71" s="2" t="s">
        <v>1082</v>
      </c>
      <c r="H71" s="2" t="s">
        <v>41</v>
      </c>
      <c r="I71" s="2" t="s">
        <v>329</v>
      </c>
      <c r="J71" s="2" t="str">
        <f>IFERROR(INDEX('Functional Acceptance'!$L:$L,MATCH($I71,'Functional Acceptance'!$B:$B,0)),"")</f>
        <v>Not Built</v>
      </c>
      <c r="K71" s="7">
        <f>IFERROR(INDEX('Functional Acceptance'!$M:$M,MATCH($I71,'Functional Acceptance'!$B:$B,0)),"")</f>
        <v>0</v>
      </c>
      <c r="L71" s="2">
        <f>IFERROR(INDEX('Functional Acceptance'!$N:$N,MATCH($I71,'Functional Acceptance'!$B:$B,0)),"")</f>
        <v>0</v>
      </c>
      <c r="M71" s="2">
        <f>IFERROR(INDEX('Functional Acceptance'!$O:$O,MATCH($I71,'Functional Acceptance'!$B:$B,0)),"")</f>
        <v>0</v>
      </c>
      <c r="N71" s="2" t="s">
        <v>1075</v>
      </c>
      <c r="O71" s="2"/>
    </row>
    <row r="72" spans="1:15" ht="30" customHeight="1" x14ac:dyDescent="0.25">
      <c r="A72" s="2" t="s">
        <v>334</v>
      </c>
      <c r="B72" s="2" t="s">
        <v>50</v>
      </c>
      <c r="C72" s="2" t="s">
        <v>297</v>
      </c>
      <c r="D72" s="2" t="s">
        <v>109</v>
      </c>
      <c r="E72" s="2" t="s">
        <v>98</v>
      </c>
      <c r="F72" s="2" t="s">
        <v>336</v>
      </c>
      <c r="G72" s="2" t="s">
        <v>1082</v>
      </c>
      <c r="H72" s="2" t="s">
        <v>41</v>
      </c>
      <c r="I72" s="2" t="s">
        <v>333</v>
      </c>
      <c r="J72" s="2" t="str">
        <f>IFERROR(INDEX('Functional Acceptance'!$L:$L,MATCH($I72,'Functional Acceptance'!$B:$B,0)),"")</f>
        <v>Not Built</v>
      </c>
      <c r="K72" s="7">
        <f>IFERROR(INDEX('Functional Acceptance'!$M:$M,MATCH($I72,'Functional Acceptance'!$B:$B,0)),"")</f>
        <v>0</v>
      </c>
      <c r="L72" s="2">
        <f>IFERROR(INDEX('Functional Acceptance'!$N:$N,MATCH($I72,'Functional Acceptance'!$B:$B,0)),"")</f>
        <v>0</v>
      </c>
      <c r="M72" s="2">
        <f>IFERROR(INDEX('Functional Acceptance'!$O:$O,MATCH($I72,'Functional Acceptance'!$B:$B,0)),"")</f>
        <v>0</v>
      </c>
      <c r="N72" s="2" t="s">
        <v>1075</v>
      </c>
      <c r="O72" s="2"/>
    </row>
    <row r="73" spans="1:15" ht="15" customHeight="1" x14ac:dyDescent="0.25">
      <c r="A73" s="2" t="s">
        <v>338</v>
      </c>
      <c r="B73" s="2" t="s">
        <v>50</v>
      </c>
      <c r="C73" s="2" t="s">
        <v>297</v>
      </c>
      <c r="D73" s="2" t="s">
        <v>302</v>
      </c>
      <c r="E73" s="2" t="s">
        <v>98</v>
      </c>
      <c r="F73" s="2" t="s">
        <v>340</v>
      </c>
      <c r="G73" s="2" t="s">
        <v>1082</v>
      </c>
      <c r="H73" s="2" t="s">
        <v>41</v>
      </c>
      <c r="I73" s="2" t="s">
        <v>337</v>
      </c>
      <c r="J73" s="2" t="str">
        <f>IFERROR(INDEX('Functional Acceptance'!$L:$L,MATCH($I73,'Functional Acceptance'!$B:$B,0)),"")</f>
        <v>Not Built</v>
      </c>
      <c r="K73" s="7">
        <f>IFERROR(INDEX('Functional Acceptance'!$M:$M,MATCH($I73,'Functional Acceptance'!$B:$B,0)),"")</f>
        <v>0</v>
      </c>
      <c r="L73" s="2">
        <f>IFERROR(INDEX('Functional Acceptance'!$N:$N,MATCH($I73,'Functional Acceptance'!$B:$B,0)),"")</f>
        <v>0</v>
      </c>
      <c r="M73" s="2">
        <f>IFERROR(INDEX('Functional Acceptance'!$O:$O,MATCH($I73,'Functional Acceptance'!$B:$B,0)),"")</f>
        <v>0</v>
      </c>
      <c r="N73" s="2" t="s">
        <v>1075</v>
      </c>
      <c r="O73" s="2"/>
    </row>
    <row r="74" spans="1:15" ht="30" customHeight="1" x14ac:dyDescent="0.25">
      <c r="A74" s="2" t="s">
        <v>342</v>
      </c>
      <c r="B74" s="2" t="s">
        <v>50</v>
      </c>
      <c r="C74" s="2" t="s">
        <v>297</v>
      </c>
      <c r="D74" s="2" t="s">
        <v>109</v>
      </c>
      <c r="E74" s="2" t="s">
        <v>98</v>
      </c>
      <c r="F74" s="2" t="s">
        <v>344</v>
      </c>
      <c r="G74" s="2" t="s">
        <v>1082</v>
      </c>
      <c r="H74" s="2" t="s">
        <v>41</v>
      </c>
      <c r="I74" s="2" t="s">
        <v>341</v>
      </c>
      <c r="J74" s="2" t="str">
        <f>IFERROR(INDEX('Functional Acceptance'!$L:$L,MATCH($I74,'Functional Acceptance'!$B:$B,0)),"")</f>
        <v>Not Built</v>
      </c>
      <c r="K74" s="7">
        <f>IFERROR(INDEX('Functional Acceptance'!$M:$M,MATCH($I74,'Functional Acceptance'!$B:$B,0)),"")</f>
        <v>0</v>
      </c>
      <c r="L74" s="2">
        <f>IFERROR(INDEX('Functional Acceptance'!$N:$N,MATCH($I74,'Functional Acceptance'!$B:$B,0)),"")</f>
        <v>0</v>
      </c>
      <c r="M74" s="2">
        <f>IFERROR(INDEX('Functional Acceptance'!$O:$O,MATCH($I74,'Functional Acceptance'!$B:$B,0)),"")</f>
        <v>0</v>
      </c>
      <c r="N74" s="2" t="s">
        <v>1075</v>
      </c>
      <c r="O74" s="2"/>
    </row>
    <row r="75" spans="1:15" ht="60" customHeight="1" x14ac:dyDescent="0.25">
      <c r="A75" s="2" t="s">
        <v>346</v>
      </c>
      <c r="B75" s="2" t="s">
        <v>50</v>
      </c>
      <c r="C75" s="2" t="s">
        <v>297</v>
      </c>
      <c r="D75" s="2" t="s">
        <v>109</v>
      </c>
      <c r="E75" s="2" t="s">
        <v>98</v>
      </c>
      <c r="F75" s="2" t="s">
        <v>349</v>
      </c>
      <c r="G75" s="2" t="s">
        <v>1082</v>
      </c>
      <c r="H75" s="2" t="s">
        <v>41</v>
      </c>
      <c r="I75" s="2" t="s">
        <v>345</v>
      </c>
      <c r="J75" s="2" t="str">
        <f>IFERROR(INDEX('Functional Acceptance'!$L:$L,MATCH($I75,'Functional Acceptance'!$B:$B,0)),"")</f>
        <v>Not Built</v>
      </c>
      <c r="K75" s="7">
        <f>IFERROR(INDEX('Functional Acceptance'!$M:$M,MATCH($I75,'Functional Acceptance'!$B:$B,0)),"")</f>
        <v>0</v>
      </c>
      <c r="L75" s="2">
        <f>IFERROR(INDEX('Functional Acceptance'!$N:$N,MATCH($I75,'Functional Acceptance'!$B:$B,0)),"")</f>
        <v>0</v>
      </c>
      <c r="M75" s="2">
        <f>IFERROR(INDEX('Functional Acceptance'!$O:$O,MATCH($I75,'Functional Acceptance'!$B:$B,0)),"")</f>
        <v>0</v>
      </c>
      <c r="N75" s="2" t="s">
        <v>1075</v>
      </c>
      <c r="O75" s="2"/>
    </row>
    <row r="76" spans="1:15" ht="15" customHeight="1" x14ac:dyDescent="0.25">
      <c r="A76" s="2" t="s">
        <v>351</v>
      </c>
      <c r="B76" s="2" t="s">
        <v>50</v>
      </c>
      <c r="C76" s="2" t="s">
        <v>297</v>
      </c>
      <c r="D76" s="2" t="s">
        <v>109</v>
      </c>
      <c r="E76" s="2" t="s">
        <v>98</v>
      </c>
      <c r="F76" s="2" t="s">
        <v>353</v>
      </c>
      <c r="G76" s="2" t="s">
        <v>1082</v>
      </c>
      <c r="H76" s="2" t="s">
        <v>41</v>
      </c>
      <c r="I76" s="2" t="s">
        <v>350</v>
      </c>
      <c r="J76" s="2" t="str">
        <f>IFERROR(INDEX('Functional Acceptance'!$L:$L,MATCH($I76,'Functional Acceptance'!$B:$B,0)),"")</f>
        <v>Not Built</v>
      </c>
      <c r="K76" s="7">
        <f>IFERROR(INDEX('Functional Acceptance'!$M:$M,MATCH($I76,'Functional Acceptance'!$B:$B,0)),"")</f>
        <v>0</v>
      </c>
      <c r="L76" s="2">
        <f>IFERROR(INDEX('Functional Acceptance'!$N:$N,MATCH($I76,'Functional Acceptance'!$B:$B,0)),"")</f>
        <v>0</v>
      </c>
      <c r="M76" s="2">
        <f>IFERROR(INDEX('Functional Acceptance'!$O:$O,MATCH($I76,'Functional Acceptance'!$B:$B,0)),"")</f>
        <v>0</v>
      </c>
      <c r="N76" s="2" t="s">
        <v>1075</v>
      </c>
      <c r="O76" s="2"/>
    </row>
    <row r="77" spans="1:15" ht="15" customHeight="1" x14ac:dyDescent="0.25">
      <c r="A77" s="2" t="s">
        <v>355</v>
      </c>
      <c r="B77" s="2" t="s">
        <v>50</v>
      </c>
      <c r="C77" s="2" t="s">
        <v>297</v>
      </c>
      <c r="D77" s="2" t="s">
        <v>109</v>
      </c>
      <c r="E77" s="2" t="s">
        <v>98</v>
      </c>
      <c r="F77" s="2" t="s">
        <v>357</v>
      </c>
      <c r="G77" s="2" t="s">
        <v>1082</v>
      </c>
      <c r="H77" s="2" t="s">
        <v>41</v>
      </c>
      <c r="I77" s="2" t="s">
        <v>354</v>
      </c>
      <c r="J77" s="2" t="str">
        <f>IFERROR(INDEX('Functional Acceptance'!$L:$L,MATCH($I77,'Functional Acceptance'!$B:$B,0)),"")</f>
        <v>Not Built</v>
      </c>
      <c r="K77" s="7">
        <f>IFERROR(INDEX('Functional Acceptance'!$M:$M,MATCH($I77,'Functional Acceptance'!$B:$B,0)),"")</f>
        <v>0</v>
      </c>
      <c r="L77" s="2">
        <f>IFERROR(INDEX('Functional Acceptance'!$N:$N,MATCH($I77,'Functional Acceptance'!$B:$B,0)),"")</f>
        <v>0</v>
      </c>
      <c r="M77" s="2">
        <f>IFERROR(INDEX('Functional Acceptance'!$O:$O,MATCH($I77,'Functional Acceptance'!$B:$B,0)),"")</f>
        <v>0</v>
      </c>
      <c r="N77" s="2" t="s">
        <v>1075</v>
      </c>
      <c r="O77" s="2"/>
    </row>
    <row r="78" spans="1:15" ht="45" customHeight="1" x14ac:dyDescent="0.25">
      <c r="A78" s="2" t="s">
        <v>359</v>
      </c>
      <c r="B78" s="2" t="s">
        <v>50</v>
      </c>
      <c r="C78" s="2" t="s">
        <v>297</v>
      </c>
      <c r="D78" s="2" t="s">
        <v>302</v>
      </c>
      <c r="E78" s="2" t="s">
        <v>98</v>
      </c>
      <c r="F78" s="2" t="s">
        <v>361</v>
      </c>
      <c r="G78" s="2" t="s">
        <v>1082</v>
      </c>
      <c r="H78" s="2" t="s">
        <v>41</v>
      </c>
      <c r="I78" s="2" t="s">
        <v>358</v>
      </c>
      <c r="J78" s="2" t="str">
        <f>IFERROR(INDEX('Functional Acceptance'!$L:$L,MATCH($I78,'Functional Acceptance'!$B:$B,0)),"")</f>
        <v>Not Built</v>
      </c>
      <c r="K78" s="7">
        <f>IFERROR(INDEX('Functional Acceptance'!$M:$M,MATCH($I78,'Functional Acceptance'!$B:$B,0)),"")</f>
        <v>0</v>
      </c>
      <c r="L78" s="2">
        <f>IFERROR(INDEX('Functional Acceptance'!$N:$N,MATCH($I78,'Functional Acceptance'!$B:$B,0)),"")</f>
        <v>0</v>
      </c>
      <c r="M78" s="2">
        <f>IFERROR(INDEX('Functional Acceptance'!$O:$O,MATCH($I78,'Functional Acceptance'!$B:$B,0)),"")</f>
        <v>0</v>
      </c>
      <c r="N78" s="2" t="s">
        <v>1075</v>
      </c>
      <c r="O78" s="2"/>
    </row>
    <row r="79" spans="1:15" ht="15" customHeight="1" x14ac:dyDescent="0.25">
      <c r="A79" s="2" t="s">
        <v>363</v>
      </c>
      <c r="B79" s="2" t="s">
        <v>50</v>
      </c>
      <c r="C79" s="2" t="s">
        <v>297</v>
      </c>
      <c r="D79" s="2" t="s">
        <v>109</v>
      </c>
      <c r="E79" s="2" t="s">
        <v>135</v>
      </c>
      <c r="F79" s="2" t="s">
        <v>365</v>
      </c>
      <c r="G79" s="2" t="s">
        <v>1082</v>
      </c>
      <c r="H79" s="2" t="s">
        <v>41</v>
      </c>
      <c r="I79" s="2" t="s">
        <v>362</v>
      </c>
      <c r="J79" s="2" t="str">
        <f>IFERROR(INDEX('Functional Acceptance'!$L:$L,MATCH($I79,'Functional Acceptance'!$B:$B,0)),"")</f>
        <v>Not Built</v>
      </c>
      <c r="K79" s="7">
        <f>IFERROR(INDEX('Functional Acceptance'!$M:$M,MATCH($I79,'Functional Acceptance'!$B:$B,0)),"")</f>
        <v>0</v>
      </c>
      <c r="L79" s="2">
        <f>IFERROR(INDEX('Functional Acceptance'!$N:$N,MATCH($I79,'Functional Acceptance'!$B:$B,0)),"")</f>
        <v>0</v>
      </c>
      <c r="M79" s="2">
        <f>IFERROR(INDEX('Functional Acceptance'!$O:$O,MATCH($I79,'Functional Acceptance'!$B:$B,0)),"")</f>
        <v>0</v>
      </c>
      <c r="N79" s="2" t="s">
        <v>1075</v>
      </c>
      <c r="O79" s="2"/>
    </row>
    <row r="80" spans="1:15" ht="15" customHeight="1" x14ac:dyDescent="0.25">
      <c r="A80" s="2" t="s">
        <v>368</v>
      </c>
      <c r="B80" s="2" t="s">
        <v>50</v>
      </c>
      <c r="C80" s="2" t="s">
        <v>297</v>
      </c>
      <c r="D80" s="2" t="s">
        <v>109</v>
      </c>
      <c r="E80" s="2" t="s">
        <v>98</v>
      </c>
      <c r="F80" s="2" t="s">
        <v>370</v>
      </c>
      <c r="G80" s="2" t="s">
        <v>1082</v>
      </c>
      <c r="H80" s="2" t="s">
        <v>41</v>
      </c>
      <c r="I80" s="2" t="s">
        <v>367</v>
      </c>
      <c r="J80" s="2" t="str">
        <f>IFERROR(INDEX('Functional Acceptance'!$L:$L,MATCH($I80,'Functional Acceptance'!$B:$B,0)),"")</f>
        <v>Not Built</v>
      </c>
      <c r="K80" s="7">
        <f>IFERROR(INDEX('Functional Acceptance'!$M:$M,MATCH($I80,'Functional Acceptance'!$B:$B,0)),"")</f>
        <v>0</v>
      </c>
      <c r="L80" s="2">
        <f>IFERROR(INDEX('Functional Acceptance'!$N:$N,MATCH($I80,'Functional Acceptance'!$B:$B,0)),"")</f>
        <v>0</v>
      </c>
      <c r="M80" s="2">
        <f>IFERROR(INDEX('Functional Acceptance'!$O:$O,MATCH($I80,'Functional Acceptance'!$B:$B,0)),"")</f>
        <v>0</v>
      </c>
      <c r="N80" s="2" t="s">
        <v>1075</v>
      </c>
      <c r="O80" s="2"/>
    </row>
    <row r="81" spans="1:15" ht="30" customHeight="1" x14ac:dyDescent="0.25">
      <c r="A81" s="2" t="s">
        <v>372</v>
      </c>
      <c r="B81" s="2" t="s">
        <v>50</v>
      </c>
      <c r="C81" s="2" t="s">
        <v>297</v>
      </c>
      <c r="D81" s="2" t="s">
        <v>373</v>
      </c>
      <c r="E81" s="2" t="s">
        <v>98</v>
      </c>
      <c r="F81" s="2" t="s">
        <v>375</v>
      </c>
      <c r="G81" s="2" t="s">
        <v>1082</v>
      </c>
      <c r="H81" s="2" t="s">
        <v>41</v>
      </c>
      <c r="I81" s="2" t="s">
        <v>371</v>
      </c>
      <c r="J81" s="2" t="str">
        <f>IFERROR(INDEX('Functional Acceptance'!$L:$L,MATCH($I81,'Functional Acceptance'!$B:$B,0)),"")</f>
        <v>Not Built</v>
      </c>
      <c r="K81" s="7">
        <f>IFERROR(INDEX('Functional Acceptance'!$M:$M,MATCH($I81,'Functional Acceptance'!$B:$B,0)),"")</f>
        <v>0</v>
      </c>
      <c r="L81" s="2">
        <f>IFERROR(INDEX('Functional Acceptance'!$N:$N,MATCH($I81,'Functional Acceptance'!$B:$B,0)),"")</f>
        <v>0</v>
      </c>
      <c r="M81" s="2">
        <f>IFERROR(INDEX('Functional Acceptance'!$O:$O,MATCH($I81,'Functional Acceptance'!$B:$B,0)),"")</f>
        <v>0</v>
      </c>
      <c r="N81" s="2" t="s">
        <v>1075</v>
      </c>
      <c r="O81" s="2"/>
    </row>
    <row r="82" spans="1:15" ht="30" customHeight="1" x14ac:dyDescent="0.25">
      <c r="A82" s="2" t="s">
        <v>377</v>
      </c>
      <c r="B82" s="2" t="s">
        <v>50</v>
      </c>
      <c r="C82" s="2" t="s">
        <v>297</v>
      </c>
      <c r="D82" s="2" t="s">
        <v>109</v>
      </c>
      <c r="E82" s="2" t="s">
        <v>98</v>
      </c>
      <c r="F82" s="2" t="s">
        <v>379</v>
      </c>
      <c r="G82" s="2" t="s">
        <v>1082</v>
      </c>
      <c r="H82" s="2" t="s">
        <v>41</v>
      </c>
      <c r="I82" s="2" t="s">
        <v>376</v>
      </c>
      <c r="J82" s="2" t="str">
        <f>IFERROR(INDEX('Functional Acceptance'!$L:$L,MATCH($I82,'Functional Acceptance'!$B:$B,0)),"")</f>
        <v>Not Built</v>
      </c>
      <c r="K82" s="7">
        <f>IFERROR(INDEX('Functional Acceptance'!$M:$M,MATCH($I82,'Functional Acceptance'!$B:$B,0)),"")</f>
        <v>0</v>
      </c>
      <c r="L82" s="2">
        <f>IFERROR(INDEX('Functional Acceptance'!$N:$N,MATCH($I82,'Functional Acceptance'!$B:$B,0)),"")</f>
        <v>0</v>
      </c>
      <c r="M82" s="2">
        <f>IFERROR(INDEX('Functional Acceptance'!$O:$O,MATCH($I82,'Functional Acceptance'!$B:$B,0)),"")</f>
        <v>0</v>
      </c>
      <c r="N82" s="2" t="s">
        <v>1075</v>
      </c>
      <c r="O82" s="2"/>
    </row>
    <row r="83" spans="1:15" ht="30" customHeight="1" x14ac:dyDescent="0.25">
      <c r="A83" s="2" t="s">
        <v>381</v>
      </c>
      <c r="B83" s="2" t="s">
        <v>50</v>
      </c>
      <c r="C83" s="2" t="s">
        <v>297</v>
      </c>
      <c r="D83" s="2" t="s">
        <v>109</v>
      </c>
      <c r="E83" s="2" t="s">
        <v>98</v>
      </c>
      <c r="F83" s="2" t="s">
        <v>384</v>
      </c>
      <c r="G83" s="2" t="s">
        <v>1082</v>
      </c>
      <c r="H83" s="2" t="s">
        <v>41</v>
      </c>
      <c r="I83" s="2" t="s">
        <v>380</v>
      </c>
      <c r="J83" s="2" t="str">
        <f>IFERROR(INDEX('Functional Acceptance'!$L:$L,MATCH($I83,'Functional Acceptance'!$B:$B,0)),"")</f>
        <v>Not Built</v>
      </c>
      <c r="K83" s="7">
        <f>IFERROR(INDEX('Functional Acceptance'!$M:$M,MATCH($I83,'Functional Acceptance'!$B:$B,0)),"")</f>
        <v>0</v>
      </c>
      <c r="L83" s="2">
        <f>IFERROR(INDEX('Functional Acceptance'!$N:$N,MATCH($I83,'Functional Acceptance'!$B:$B,0)),"")</f>
        <v>0</v>
      </c>
      <c r="M83" s="2">
        <f>IFERROR(INDEX('Functional Acceptance'!$O:$O,MATCH($I83,'Functional Acceptance'!$B:$B,0)),"")</f>
        <v>0</v>
      </c>
      <c r="N83" s="2" t="s">
        <v>1075</v>
      </c>
      <c r="O83" s="2"/>
    </row>
    <row r="84" spans="1:15" ht="30" customHeight="1" x14ac:dyDescent="0.25">
      <c r="A84" s="2" t="s">
        <v>386</v>
      </c>
      <c r="B84" s="2" t="s">
        <v>50</v>
      </c>
      <c r="C84" s="2" t="s">
        <v>297</v>
      </c>
      <c r="D84" s="2" t="s">
        <v>109</v>
      </c>
      <c r="E84" s="2" t="s">
        <v>98</v>
      </c>
      <c r="F84" s="2" t="s">
        <v>389</v>
      </c>
      <c r="G84" s="2" t="s">
        <v>1082</v>
      </c>
      <c r="H84" s="2" t="s">
        <v>41</v>
      </c>
      <c r="I84" s="2" t="s">
        <v>385</v>
      </c>
      <c r="J84" s="2" t="str">
        <f>IFERROR(INDEX('Functional Acceptance'!$L:$L,MATCH($I84,'Functional Acceptance'!$B:$B,0)),"")</f>
        <v>Not Built</v>
      </c>
      <c r="K84" s="7">
        <f>IFERROR(INDEX('Functional Acceptance'!$M:$M,MATCH($I84,'Functional Acceptance'!$B:$B,0)),"")</f>
        <v>0</v>
      </c>
      <c r="L84" s="2">
        <f>IFERROR(INDEX('Functional Acceptance'!$N:$N,MATCH($I84,'Functional Acceptance'!$B:$B,0)),"")</f>
        <v>0</v>
      </c>
      <c r="M84" s="2">
        <f>IFERROR(INDEX('Functional Acceptance'!$O:$O,MATCH($I84,'Functional Acceptance'!$B:$B,0)),"")</f>
        <v>0</v>
      </c>
      <c r="N84" s="2" t="s">
        <v>1075</v>
      </c>
      <c r="O84" s="2"/>
    </row>
    <row r="85" spans="1:15" ht="30" customHeight="1" x14ac:dyDescent="0.25">
      <c r="A85" s="2" t="s">
        <v>391</v>
      </c>
      <c r="B85" s="2" t="s">
        <v>50</v>
      </c>
      <c r="C85" s="2" t="s">
        <v>297</v>
      </c>
      <c r="D85" s="2" t="s">
        <v>109</v>
      </c>
      <c r="E85" s="2" t="s">
        <v>98</v>
      </c>
      <c r="F85" s="2" t="s">
        <v>393</v>
      </c>
      <c r="G85" s="2" t="s">
        <v>1082</v>
      </c>
      <c r="H85" s="2" t="s">
        <v>41</v>
      </c>
      <c r="I85" s="2" t="s">
        <v>390</v>
      </c>
      <c r="J85" s="2" t="str">
        <f>IFERROR(INDEX('Functional Acceptance'!$L:$L,MATCH($I85,'Functional Acceptance'!$B:$B,0)),"")</f>
        <v>Not Built</v>
      </c>
      <c r="K85" s="7">
        <f>IFERROR(INDEX('Functional Acceptance'!$M:$M,MATCH($I85,'Functional Acceptance'!$B:$B,0)),"")</f>
        <v>0</v>
      </c>
      <c r="L85" s="2">
        <f>IFERROR(INDEX('Functional Acceptance'!$N:$N,MATCH($I85,'Functional Acceptance'!$B:$B,0)),"")</f>
        <v>0</v>
      </c>
      <c r="M85" s="2">
        <f>IFERROR(INDEX('Functional Acceptance'!$O:$O,MATCH($I85,'Functional Acceptance'!$B:$B,0)),"")</f>
        <v>0</v>
      </c>
      <c r="N85" s="2" t="s">
        <v>1075</v>
      </c>
      <c r="O85" s="2"/>
    </row>
    <row r="86" spans="1:15" ht="30" customHeight="1" x14ac:dyDescent="0.25">
      <c r="A86" s="2" t="s">
        <v>395</v>
      </c>
      <c r="B86" s="2" t="s">
        <v>50</v>
      </c>
      <c r="C86" s="2" t="s">
        <v>297</v>
      </c>
      <c r="D86" s="2" t="s">
        <v>109</v>
      </c>
      <c r="E86" s="2" t="s">
        <v>98</v>
      </c>
      <c r="F86" s="2" t="s">
        <v>397</v>
      </c>
      <c r="G86" s="2" t="s">
        <v>1082</v>
      </c>
      <c r="H86" s="2" t="s">
        <v>41</v>
      </c>
      <c r="I86" s="2" t="s">
        <v>394</v>
      </c>
      <c r="J86" s="2" t="str">
        <f>IFERROR(INDEX('Functional Acceptance'!$L:$L,MATCH($I86,'Functional Acceptance'!$B:$B,0)),"")</f>
        <v>Not Built</v>
      </c>
      <c r="K86" s="7">
        <f>IFERROR(INDEX('Functional Acceptance'!$M:$M,MATCH($I86,'Functional Acceptance'!$B:$B,0)),"")</f>
        <v>0</v>
      </c>
      <c r="L86" s="2">
        <f>IFERROR(INDEX('Functional Acceptance'!$N:$N,MATCH($I86,'Functional Acceptance'!$B:$B,0)),"")</f>
        <v>0</v>
      </c>
      <c r="M86" s="2">
        <f>IFERROR(INDEX('Functional Acceptance'!$O:$O,MATCH($I86,'Functional Acceptance'!$B:$B,0)),"")</f>
        <v>0</v>
      </c>
      <c r="N86" s="2" t="s">
        <v>1075</v>
      </c>
      <c r="O86" s="2"/>
    </row>
    <row r="87" spans="1:15" ht="30" customHeight="1" x14ac:dyDescent="0.25">
      <c r="A87" s="2" t="s">
        <v>399</v>
      </c>
      <c r="B87" s="2" t="s">
        <v>52</v>
      </c>
      <c r="C87" s="2" t="s">
        <v>400</v>
      </c>
      <c r="D87" s="2" t="s">
        <v>97</v>
      </c>
      <c r="E87" s="2" t="s">
        <v>135</v>
      </c>
      <c r="F87" s="2" t="s">
        <v>402</v>
      </c>
      <c r="G87" s="2" t="s">
        <v>1082</v>
      </c>
      <c r="H87" s="2" t="s">
        <v>41</v>
      </c>
      <c r="I87" s="2" t="s">
        <v>398</v>
      </c>
      <c r="J87" s="2" t="str">
        <f>IFERROR(INDEX('Functional Acceptance'!$L:$L,MATCH($I87,'Functional Acceptance'!$B:$B,0)),"")</f>
        <v>Not Built</v>
      </c>
      <c r="K87" s="7">
        <f>IFERROR(INDEX('Functional Acceptance'!$M:$M,MATCH($I87,'Functional Acceptance'!$B:$B,0)),"")</f>
        <v>0</v>
      </c>
      <c r="L87" s="2">
        <f>IFERROR(INDEX('Functional Acceptance'!$N:$N,MATCH($I87,'Functional Acceptance'!$B:$B,0)),"")</f>
        <v>0</v>
      </c>
      <c r="M87" s="2">
        <f>IFERROR(INDEX('Functional Acceptance'!$O:$O,MATCH($I87,'Functional Acceptance'!$B:$B,0)),"")</f>
        <v>0</v>
      </c>
      <c r="N87" s="2" t="s">
        <v>1075</v>
      </c>
      <c r="O87" s="2"/>
    </row>
    <row r="88" spans="1:15" ht="30" customHeight="1" x14ac:dyDescent="0.25">
      <c r="A88" s="2" t="s">
        <v>404</v>
      </c>
      <c r="B88" s="2" t="s">
        <v>52</v>
      </c>
      <c r="C88" s="2" t="s">
        <v>400</v>
      </c>
      <c r="D88" s="2" t="s">
        <v>97</v>
      </c>
      <c r="E88" s="2" t="s">
        <v>141</v>
      </c>
      <c r="F88" s="2" t="s">
        <v>406</v>
      </c>
      <c r="G88" s="2" t="s">
        <v>1082</v>
      </c>
      <c r="H88" s="2" t="s">
        <v>41</v>
      </c>
      <c r="I88" s="2" t="s">
        <v>403</v>
      </c>
      <c r="J88" s="2" t="str">
        <f>IFERROR(INDEX('Functional Acceptance'!$L:$L,MATCH($I88,'Functional Acceptance'!$B:$B,0)),"")</f>
        <v>Not Built</v>
      </c>
      <c r="K88" s="7">
        <f>IFERROR(INDEX('Functional Acceptance'!$M:$M,MATCH($I88,'Functional Acceptance'!$B:$B,0)),"")</f>
        <v>0</v>
      </c>
      <c r="L88" s="2">
        <f>IFERROR(INDEX('Functional Acceptance'!$N:$N,MATCH($I88,'Functional Acceptance'!$B:$B,0)),"")</f>
        <v>0</v>
      </c>
      <c r="M88" s="2">
        <f>IFERROR(INDEX('Functional Acceptance'!$O:$O,MATCH($I88,'Functional Acceptance'!$B:$B,0)),"")</f>
        <v>0</v>
      </c>
      <c r="N88" s="2" t="s">
        <v>1075</v>
      </c>
      <c r="O88" s="2"/>
    </row>
    <row r="89" spans="1:15" ht="15" customHeight="1" x14ac:dyDescent="0.25">
      <c r="A89" s="2" t="s">
        <v>408</v>
      </c>
      <c r="B89" s="2" t="s">
        <v>52</v>
      </c>
      <c r="C89" s="2" t="s">
        <v>400</v>
      </c>
      <c r="D89" s="2" t="s">
        <v>109</v>
      </c>
      <c r="E89" s="2" t="s">
        <v>98</v>
      </c>
      <c r="F89" s="2" t="s">
        <v>410</v>
      </c>
      <c r="G89" s="2" t="s">
        <v>1082</v>
      </c>
      <c r="H89" s="2" t="s">
        <v>41</v>
      </c>
      <c r="I89" s="2" t="s">
        <v>407</v>
      </c>
      <c r="J89" s="2" t="str">
        <f>IFERROR(INDEX('Functional Acceptance'!$L:$L,MATCH($I89,'Functional Acceptance'!$B:$B,0)),"")</f>
        <v>Not Built</v>
      </c>
      <c r="K89" s="7">
        <f>IFERROR(INDEX('Functional Acceptance'!$M:$M,MATCH($I89,'Functional Acceptance'!$B:$B,0)),"")</f>
        <v>0</v>
      </c>
      <c r="L89" s="2">
        <f>IFERROR(INDEX('Functional Acceptance'!$N:$N,MATCH($I89,'Functional Acceptance'!$B:$B,0)),"")</f>
        <v>0</v>
      </c>
      <c r="M89" s="2">
        <f>IFERROR(INDEX('Functional Acceptance'!$O:$O,MATCH($I89,'Functional Acceptance'!$B:$B,0)),"")</f>
        <v>0</v>
      </c>
      <c r="N89" s="2" t="s">
        <v>1075</v>
      </c>
      <c r="O89" s="2"/>
    </row>
    <row r="90" spans="1:15" ht="30" customHeight="1" x14ac:dyDescent="0.25">
      <c r="A90" s="2" t="s">
        <v>412</v>
      </c>
      <c r="B90" s="2" t="s">
        <v>52</v>
      </c>
      <c r="C90" s="2" t="s">
        <v>400</v>
      </c>
      <c r="D90" s="2" t="s">
        <v>109</v>
      </c>
      <c r="E90" s="2" t="s">
        <v>98</v>
      </c>
      <c r="F90" s="2" t="s">
        <v>414</v>
      </c>
      <c r="G90" s="2" t="s">
        <v>1082</v>
      </c>
      <c r="H90" s="2" t="s">
        <v>41</v>
      </c>
      <c r="I90" s="2" t="s">
        <v>411</v>
      </c>
      <c r="J90" s="2" t="str">
        <f>IFERROR(INDEX('Functional Acceptance'!$L:$L,MATCH($I90,'Functional Acceptance'!$B:$B,0)),"")</f>
        <v>Not Built</v>
      </c>
      <c r="K90" s="7">
        <f>IFERROR(INDEX('Functional Acceptance'!$M:$M,MATCH($I90,'Functional Acceptance'!$B:$B,0)),"")</f>
        <v>0</v>
      </c>
      <c r="L90" s="2">
        <f>IFERROR(INDEX('Functional Acceptance'!$N:$N,MATCH($I90,'Functional Acceptance'!$B:$B,0)),"")</f>
        <v>0</v>
      </c>
      <c r="M90" s="2">
        <f>IFERROR(INDEX('Functional Acceptance'!$O:$O,MATCH($I90,'Functional Acceptance'!$B:$B,0)),"")</f>
        <v>0</v>
      </c>
      <c r="N90" s="2" t="s">
        <v>1075</v>
      </c>
      <c r="O90" s="2"/>
    </row>
    <row r="91" spans="1:15" ht="15" customHeight="1" x14ac:dyDescent="0.25">
      <c r="A91" s="2" t="s">
        <v>416</v>
      </c>
      <c r="B91" s="2" t="s">
        <v>52</v>
      </c>
      <c r="C91" s="2" t="s">
        <v>400</v>
      </c>
      <c r="D91" s="2" t="s">
        <v>109</v>
      </c>
      <c r="E91" s="2" t="s">
        <v>98</v>
      </c>
      <c r="F91" s="2" t="s">
        <v>418</v>
      </c>
      <c r="G91" s="2" t="s">
        <v>1082</v>
      </c>
      <c r="H91" s="2" t="s">
        <v>41</v>
      </c>
      <c r="I91" s="2" t="s">
        <v>415</v>
      </c>
      <c r="J91" s="2" t="str">
        <f>IFERROR(INDEX('Functional Acceptance'!$L:$L,MATCH($I91,'Functional Acceptance'!$B:$B,0)),"")</f>
        <v>Not Built</v>
      </c>
      <c r="K91" s="7">
        <f>IFERROR(INDEX('Functional Acceptance'!$M:$M,MATCH($I91,'Functional Acceptance'!$B:$B,0)),"")</f>
        <v>0</v>
      </c>
      <c r="L91" s="2">
        <f>IFERROR(INDEX('Functional Acceptance'!$N:$N,MATCH($I91,'Functional Acceptance'!$B:$B,0)),"")</f>
        <v>0</v>
      </c>
      <c r="M91" s="2">
        <f>IFERROR(INDEX('Functional Acceptance'!$O:$O,MATCH($I91,'Functional Acceptance'!$B:$B,0)),"")</f>
        <v>0</v>
      </c>
      <c r="N91" s="2" t="s">
        <v>1075</v>
      </c>
      <c r="O91" s="2"/>
    </row>
    <row r="92" spans="1:15" ht="15" customHeight="1" x14ac:dyDescent="0.25">
      <c r="A92" s="2" t="s">
        <v>420</v>
      </c>
      <c r="B92" s="2" t="s">
        <v>52</v>
      </c>
      <c r="C92" s="2" t="s">
        <v>400</v>
      </c>
      <c r="D92" s="2" t="s">
        <v>109</v>
      </c>
      <c r="E92" s="2" t="s">
        <v>98</v>
      </c>
      <c r="F92" s="2" t="s">
        <v>423</v>
      </c>
      <c r="G92" s="2" t="s">
        <v>1082</v>
      </c>
      <c r="H92" s="2" t="s">
        <v>41</v>
      </c>
      <c r="I92" s="2" t="s">
        <v>419</v>
      </c>
      <c r="J92" s="2" t="str">
        <f>IFERROR(INDEX('Functional Acceptance'!$L:$L,MATCH($I92,'Functional Acceptance'!$B:$B,0)),"")</f>
        <v>Not Built</v>
      </c>
      <c r="K92" s="7">
        <f>IFERROR(INDEX('Functional Acceptance'!$M:$M,MATCH($I92,'Functional Acceptance'!$B:$B,0)),"")</f>
        <v>0</v>
      </c>
      <c r="L92" s="2">
        <f>IFERROR(INDEX('Functional Acceptance'!$N:$N,MATCH($I92,'Functional Acceptance'!$B:$B,0)),"")</f>
        <v>0</v>
      </c>
      <c r="M92" s="2">
        <f>IFERROR(INDEX('Functional Acceptance'!$O:$O,MATCH($I92,'Functional Acceptance'!$B:$B,0)),"")</f>
        <v>0</v>
      </c>
      <c r="N92" s="2" t="s">
        <v>1075</v>
      </c>
      <c r="O92" s="2"/>
    </row>
    <row r="93" spans="1:15" ht="15" customHeight="1" x14ac:dyDescent="0.25">
      <c r="A93" s="2" t="s">
        <v>425</v>
      </c>
      <c r="B93" s="2" t="s">
        <v>52</v>
      </c>
      <c r="C93" s="2" t="s">
        <v>400</v>
      </c>
      <c r="D93" s="2" t="s">
        <v>109</v>
      </c>
      <c r="E93" s="2" t="s">
        <v>98</v>
      </c>
      <c r="F93" s="2" t="s">
        <v>427</v>
      </c>
      <c r="G93" s="2" t="s">
        <v>1082</v>
      </c>
      <c r="H93" s="2" t="s">
        <v>41</v>
      </c>
      <c r="I93" s="2" t="s">
        <v>424</v>
      </c>
      <c r="J93" s="2" t="str">
        <f>IFERROR(INDEX('Functional Acceptance'!$L:$L,MATCH($I93,'Functional Acceptance'!$B:$B,0)),"")</f>
        <v>Not Built</v>
      </c>
      <c r="K93" s="7">
        <f>IFERROR(INDEX('Functional Acceptance'!$M:$M,MATCH($I93,'Functional Acceptance'!$B:$B,0)),"")</f>
        <v>0</v>
      </c>
      <c r="L93" s="2">
        <f>IFERROR(INDEX('Functional Acceptance'!$N:$N,MATCH($I93,'Functional Acceptance'!$B:$B,0)),"")</f>
        <v>0</v>
      </c>
      <c r="M93" s="2">
        <f>IFERROR(INDEX('Functional Acceptance'!$O:$O,MATCH($I93,'Functional Acceptance'!$B:$B,0)),"")</f>
        <v>0</v>
      </c>
      <c r="N93" s="2" t="s">
        <v>1075</v>
      </c>
      <c r="O93" s="2"/>
    </row>
    <row r="94" spans="1:15" ht="15" customHeight="1" x14ac:dyDescent="0.25">
      <c r="A94" s="2" t="s">
        <v>429</v>
      </c>
      <c r="B94" s="2" t="s">
        <v>52</v>
      </c>
      <c r="C94" s="2" t="s">
        <v>400</v>
      </c>
      <c r="D94" s="2" t="s">
        <v>109</v>
      </c>
      <c r="E94" s="2" t="s">
        <v>98</v>
      </c>
      <c r="F94" s="2" t="s">
        <v>431</v>
      </c>
      <c r="G94" s="2" t="s">
        <v>1082</v>
      </c>
      <c r="H94" s="2" t="s">
        <v>41</v>
      </c>
      <c r="I94" s="2" t="s">
        <v>428</v>
      </c>
      <c r="J94" s="2" t="str">
        <f>IFERROR(INDEX('Functional Acceptance'!$L:$L,MATCH($I94,'Functional Acceptance'!$B:$B,0)),"")</f>
        <v>Not Built</v>
      </c>
      <c r="K94" s="7">
        <f>IFERROR(INDEX('Functional Acceptance'!$M:$M,MATCH($I94,'Functional Acceptance'!$B:$B,0)),"")</f>
        <v>0</v>
      </c>
      <c r="L94" s="2">
        <f>IFERROR(INDEX('Functional Acceptance'!$N:$N,MATCH($I94,'Functional Acceptance'!$B:$B,0)),"")</f>
        <v>0</v>
      </c>
      <c r="M94" s="2">
        <f>IFERROR(INDEX('Functional Acceptance'!$O:$O,MATCH($I94,'Functional Acceptance'!$B:$B,0)),"")</f>
        <v>0</v>
      </c>
      <c r="N94" s="2" t="s">
        <v>1075</v>
      </c>
      <c r="O94" s="2"/>
    </row>
    <row r="95" spans="1:15" ht="15" customHeight="1" x14ac:dyDescent="0.25">
      <c r="A95" s="2" t="s">
        <v>433</v>
      </c>
      <c r="B95" s="2" t="s">
        <v>52</v>
      </c>
      <c r="C95" s="2" t="s">
        <v>400</v>
      </c>
      <c r="D95" s="2" t="s">
        <v>109</v>
      </c>
      <c r="E95" s="2" t="s">
        <v>98</v>
      </c>
      <c r="F95" s="2" t="s">
        <v>435</v>
      </c>
      <c r="G95" s="2" t="s">
        <v>1082</v>
      </c>
      <c r="H95" s="2" t="s">
        <v>41</v>
      </c>
      <c r="I95" s="2" t="s">
        <v>432</v>
      </c>
      <c r="J95" s="2" t="str">
        <f>IFERROR(INDEX('Functional Acceptance'!$L:$L,MATCH($I95,'Functional Acceptance'!$B:$B,0)),"")</f>
        <v>Not Built</v>
      </c>
      <c r="K95" s="7">
        <f>IFERROR(INDEX('Functional Acceptance'!$M:$M,MATCH($I95,'Functional Acceptance'!$B:$B,0)),"")</f>
        <v>0</v>
      </c>
      <c r="L95" s="2">
        <f>IFERROR(INDEX('Functional Acceptance'!$N:$N,MATCH($I95,'Functional Acceptance'!$B:$B,0)),"")</f>
        <v>0</v>
      </c>
      <c r="M95" s="2">
        <f>IFERROR(INDEX('Functional Acceptance'!$O:$O,MATCH($I95,'Functional Acceptance'!$B:$B,0)),"")</f>
        <v>0</v>
      </c>
      <c r="N95" s="2" t="s">
        <v>1075</v>
      </c>
      <c r="O95" s="2"/>
    </row>
    <row r="96" spans="1:15" ht="15" customHeight="1" x14ac:dyDescent="0.25">
      <c r="A96" s="2" t="s">
        <v>437</v>
      </c>
      <c r="B96" s="2" t="s">
        <v>52</v>
      </c>
      <c r="C96" s="2" t="s">
        <v>400</v>
      </c>
      <c r="D96" s="2" t="s">
        <v>109</v>
      </c>
      <c r="E96" s="2" t="s">
        <v>98</v>
      </c>
      <c r="F96" s="2" t="s">
        <v>439</v>
      </c>
      <c r="G96" s="2" t="s">
        <v>1082</v>
      </c>
      <c r="H96" s="2" t="s">
        <v>41</v>
      </c>
      <c r="I96" s="2" t="s">
        <v>436</v>
      </c>
      <c r="J96" s="2" t="str">
        <f>IFERROR(INDEX('Functional Acceptance'!$L:$L,MATCH($I96,'Functional Acceptance'!$B:$B,0)),"")</f>
        <v>Not Built</v>
      </c>
      <c r="K96" s="7">
        <f>IFERROR(INDEX('Functional Acceptance'!$M:$M,MATCH($I96,'Functional Acceptance'!$B:$B,0)),"")</f>
        <v>0</v>
      </c>
      <c r="L96" s="2">
        <f>IFERROR(INDEX('Functional Acceptance'!$N:$N,MATCH($I96,'Functional Acceptance'!$B:$B,0)),"")</f>
        <v>0</v>
      </c>
      <c r="M96" s="2">
        <f>IFERROR(INDEX('Functional Acceptance'!$O:$O,MATCH($I96,'Functional Acceptance'!$B:$B,0)),"")</f>
        <v>0</v>
      </c>
      <c r="N96" s="2" t="s">
        <v>1075</v>
      </c>
      <c r="O96" s="2"/>
    </row>
    <row r="97" spans="1:15" ht="30" customHeight="1" x14ac:dyDescent="0.25">
      <c r="A97" s="2" t="s">
        <v>441</v>
      </c>
      <c r="B97" s="2" t="s">
        <v>52</v>
      </c>
      <c r="C97" s="2" t="s">
        <v>400</v>
      </c>
      <c r="D97" s="2" t="s">
        <v>109</v>
      </c>
      <c r="E97" s="2" t="s">
        <v>98</v>
      </c>
      <c r="F97" s="2" t="s">
        <v>443</v>
      </c>
      <c r="G97" s="2" t="s">
        <v>1082</v>
      </c>
      <c r="H97" s="2" t="s">
        <v>41</v>
      </c>
      <c r="I97" s="2" t="s">
        <v>440</v>
      </c>
      <c r="J97" s="2" t="str">
        <f>IFERROR(INDEX('Functional Acceptance'!$L:$L,MATCH($I97,'Functional Acceptance'!$B:$B,0)),"")</f>
        <v>Not Built</v>
      </c>
      <c r="K97" s="7">
        <f>IFERROR(INDEX('Functional Acceptance'!$M:$M,MATCH($I97,'Functional Acceptance'!$B:$B,0)),"")</f>
        <v>0</v>
      </c>
      <c r="L97" s="2">
        <f>IFERROR(INDEX('Functional Acceptance'!$N:$N,MATCH($I97,'Functional Acceptance'!$B:$B,0)),"")</f>
        <v>0</v>
      </c>
      <c r="M97" s="2">
        <f>IFERROR(INDEX('Functional Acceptance'!$O:$O,MATCH($I97,'Functional Acceptance'!$B:$B,0)),"")</f>
        <v>0</v>
      </c>
      <c r="N97" s="2" t="s">
        <v>1075</v>
      </c>
      <c r="O97" s="2"/>
    </row>
    <row r="98" spans="1:15" ht="30" customHeight="1" x14ac:dyDescent="0.25">
      <c r="A98" s="2" t="s">
        <v>445</v>
      </c>
      <c r="B98" s="2" t="s">
        <v>52</v>
      </c>
      <c r="C98" s="2" t="s">
        <v>400</v>
      </c>
      <c r="D98" s="2" t="s">
        <v>109</v>
      </c>
      <c r="E98" s="2" t="s">
        <v>98</v>
      </c>
      <c r="F98" s="2" t="s">
        <v>447</v>
      </c>
      <c r="G98" s="2" t="s">
        <v>1082</v>
      </c>
      <c r="H98" s="2" t="s">
        <v>41</v>
      </c>
      <c r="I98" s="2" t="s">
        <v>444</v>
      </c>
      <c r="J98" s="2" t="str">
        <f>IFERROR(INDEX('Functional Acceptance'!$L:$L,MATCH($I98,'Functional Acceptance'!$B:$B,0)),"")</f>
        <v>Not Built</v>
      </c>
      <c r="K98" s="7">
        <f>IFERROR(INDEX('Functional Acceptance'!$M:$M,MATCH($I98,'Functional Acceptance'!$B:$B,0)),"")</f>
        <v>0</v>
      </c>
      <c r="L98" s="2">
        <f>IFERROR(INDEX('Functional Acceptance'!$N:$N,MATCH($I98,'Functional Acceptance'!$B:$B,0)),"")</f>
        <v>0</v>
      </c>
      <c r="M98" s="2">
        <f>IFERROR(INDEX('Functional Acceptance'!$O:$O,MATCH($I98,'Functional Acceptance'!$B:$B,0)),"")</f>
        <v>0</v>
      </c>
      <c r="N98" s="2" t="s">
        <v>1075</v>
      </c>
      <c r="O98" s="2"/>
    </row>
    <row r="99" spans="1:15" ht="15" customHeight="1" x14ac:dyDescent="0.25">
      <c r="A99" s="2" t="s">
        <v>449</v>
      </c>
      <c r="B99" s="2" t="s">
        <v>52</v>
      </c>
      <c r="C99" s="2" t="s">
        <v>400</v>
      </c>
      <c r="D99" s="2" t="s">
        <v>109</v>
      </c>
      <c r="E99" s="2" t="s">
        <v>98</v>
      </c>
      <c r="F99" s="2" t="s">
        <v>452</v>
      </c>
      <c r="G99" s="2" t="s">
        <v>1082</v>
      </c>
      <c r="H99" s="2" t="s">
        <v>41</v>
      </c>
      <c r="I99" s="2" t="s">
        <v>448</v>
      </c>
      <c r="J99" s="2" t="str">
        <f>IFERROR(INDEX('Functional Acceptance'!$L:$L,MATCH($I99,'Functional Acceptance'!$B:$B,0)),"")</f>
        <v>Not Built</v>
      </c>
      <c r="K99" s="7">
        <f>IFERROR(INDEX('Functional Acceptance'!$M:$M,MATCH($I99,'Functional Acceptance'!$B:$B,0)),"")</f>
        <v>0</v>
      </c>
      <c r="L99" s="2">
        <f>IFERROR(INDEX('Functional Acceptance'!$N:$N,MATCH($I99,'Functional Acceptance'!$B:$B,0)),"")</f>
        <v>0</v>
      </c>
      <c r="M99" s="2">
        <f>IFERROR(INDEX('Functional Acceptance'!$O:$O,MATCH($I99,'Functional Acceptance'!$B:$B,0)),"")</f>
        <v>0</v>
      </c>
      <c r="N99" s="2" t="s">
        <v>1075</v>
      </c>
      <c r="O99" s="2"/>
    </row>
    <row r="100" spans="1:15" ht="30" customHeight="1" x14ac:dyDescent="0.25">
      <c r="A100" s="2" t="s">
        <v>454</v>
      </c>
      <c r="B100" s="2" t="s">
        <v>52</v>
      </c>
      <c r="C100" s="2" t="s">
        <v>400</v>
      </c>
      <c r="D100" s="2" t="s">
        <v>109</v>
      </c>
      <c r="E100" s="2" t="s">
        <v>98</v>
      </c>
      <c r="F100" s="2" t="s">
        <v>456</v>
      </c>
      <c r="G100" s="2" t="s">
        <v>1082</v>
      </c>
      <c r="H100" s="2" t="s">
        <v>41</v>
      </c>
      <c r="I100" s="2" t="s">
        <v>453</v>
      </c>
      <c r="J100" s="2" t="str">
        <f>IFERROR(INDEX('Functional Acceptance'!$L:$L,MATCH($I100,'Functional Acceptance'!$B:$B,0)),"")</f>
        <v>Not Built</v>
      </c>
      <c r="K100" s="7">
        <f>IFERROR(INDEX('Functional Acceptance'!$M:$M,MATCH($I100,'Functional Acceptance'!$B:$B,0)),"")</f>
        <v>0</v>
      </c>
      <c r="L100" s="2">
        <f>IFERROR(INDEX('Functional Acceptance'!$N:$N,MATCH($I100,'Functional Acceptance'!$B:$B,0)),"")</f>
        <v>0</v>
      </c>
      <c r="M100" s="2">
        <f>IFERROR(INDEX('Functional Acceptance'!$O:$O,MATCH($I100,'Functional Acceptance'!$B:$B,0)),"")</f>
        <v>0</v>
      </c>
      <c r="N100" s="2" t="s">
        <v>1075</v>
      </c>
      <c r="O100" s="2"/>
    </row>
    <row r="101" spans="1:15" ht="30" customHeight="1" x14ac:dyDescent="0.25">
      <c r="A101" s="2" t="s">
        <v>458</v>
      </c>
      <c r="B101" s="2" t="s">
        <v>52</v>
      </c>
      <c r="C101" s="2" t="s">
        <v>400</v>
      </c>
      <c r="D101" s="2" t="s">
        <v>109</v>
      </c>
      <c r="E101" s="2" t="s">
        <v>98</v>
      </c>
      <c r="F101" s="2" t="s">
        <v>460</v>
      </c>
      <c r="G101" s="2" t="s">
        <v>1082</v>
      </c>
      <c r="H101" s="2" t="s">
        <v>41</v>
      </c>
      <c r="I101" s="2" t="s">
        <v>457</v>
      </c>
      <c r="J101" s="2" t="str">
        <f>IFERROR(INDEX('Functional Acceptance'!$L:$L,MATCH($I101,'Functional Acceptance'!$B:$B,0)),"")</f>
        <v>Not Built</v>
      </c>
      <c r="K101" s="7">
        <f>IFERROR(INDEX('Functional Acceptance'!$M:$M,MATCH($I101,'Functional Acceptance'!$B:$B,0)),"")</f>
        <v>0</v>
      </c>
      <c r="L101" s="2">
        <f>IFERROR(INDEX('Functional Acceptance'!$N:$N,MATCH($I101,'Functional Acceptance'!$B:$B,0)),"")</f>
        <v>0</v>
      </c>
      <c r="M101" s="2">
        <f>IFERROR(INDEX('Functional Acceptance'!$O:$O,MATCH($I101,'Functional Acceptance'!$B:$B,0)),"")</f>
        <v>0</v>
      </c>
      <c r="N101" s="2" t="s">
        <v>1075</v>
      </c>
      <c r="O101" s="2"/>
    </row>
    <row r="102" spans="1:15" ht="30" customHeight="1" x14ac:dyDescent="0.25">
      <c r="A102" s="2" t="s">
        <v>462</v>
      </c>
      <c r="B102" s="2" t="s">
        <v>52</v>
      </c>
      <c r="C102" s="2" t="s">
        <v>400</v>
      </c>
      <c r="D102" s="2" t="s">
        <v>234</v>
      </c>
      <c r="E102" s="2" t="s">
        <v>98</v>
      </c>
      <c r="F102" s="2" t="s">
        <v>464</v>
      </c>
      <c r="G102" s="2" t="s">
        <v>1082</v>
      </c>
      <c r="H102" s="2" t="s">
        <v>41</v>
      </c>
      <c r="I102" s="2" t="s">
        <v>461</v>
      </c>
      <c r="J102" s="2" t="str">
        <f>IFERROR(INDEX('Functional Acceptance'!$L:$L,MATCH($I102,'Functional Acceptance'!$B:$B,0)),"")</f>
        <v>Not Built</v>
      </c>
      <c r="K102" s="7">
        <f>IFERROR(INDEX('Functional Acceptance'!$M:$M,MATCH($I102,'Functional Acceptance'!$B:$B,0)),"")</f>
        <v>0</v>
      </c>
      <c r="L102" s="2">
        <f>IFERROR(INDEX('Functional Acceptance'!$N:$N,MATCH($I102,'Functional Acceptance'!$B:$B,0)),"")</f>
        <v>0</v>
      </c>
      <c r="M102" s="2">
        <f>IFERROR(INDEX('Functional Acceptance'!$O:$O,MATCH($I102,'Functional Acceptance'!$B:$B,0)),"")</f>
        <v>0</v>
      </c>
      <c r="N102" s="2" t="s">
        <v>1075</v>
      </c>
      <c r="O102" s="2"/>
    </row>
    <row r="103" spans="1:15" ht="15" customHeight="1" x14ac:dyDescent="0.25">
      <c r="A103" s="2" t="s">
        <v>466</v>
      </c>
      <c r="B103" s="2" t="s">
        <v>52</v>
      </c>
      <c r="C103" s="2" t="s">
        <v>467</v>
      </c>
      <c r="D103" s="2" t="s">
        <v>97</v>
      </c>
      <c r="E103" s="2" t="s">
        <v>98</v>
      </c>
      <c r="F103" s="2" t="s">
        <v>470</v>
      </c>
      <c r="G103" s="2" t="s">
        <v>1082</v>
      </c>
      <c r="H103" s="2" t="s">
        <v>41</v>
      </c>
      <c r="I103" s="2" t="s">
        <v>465</v>
      </c>
      <c r="J103" s="2" t="str">
        <f>IFERROR(INDEX('Functional Acceptance'!$L:$L,MATCH($I103,'Functional Acceptance'!$B:$B,0)),"")</f>
        <v>Not Built</v>
      </c>
      <c r="K103" s="7">
        <f>IFERROR(INDEX('Functional Acceptance'!$M:$M,MATCH($I103,'Functional Acceptance'!$B:$B,0)),"")</f>
        <v>0</v>
      </c>
      <c r="L103" s="2">
        <f>IFERROR(INDEX('Functional Acceptance'!$N:$N,MATCH($I103,'Functional Acceptance'!$B:$B,0)),"")</f>
        <v>0</v>
      </c>
      <c r="M103" s="2">
        <f>IFERROR(INDEX('Functional Acceptance'!$O:$O,MATCH($I103,'Functional Acceptance'!$B:$B,0)),"")</f>
        <v>0</v>
      </c>
      <c r="N103" s="2" t="s">
        <v>1075</v>
      </c>
      <c r="O103" s="2"/>
    </row>
    <row r="104" spans="1:15" ht="15" customHeight="1" x14ac:dyDescent="0.25">
      <c r="A104" s="2" t="s">
        <v>472</v>
      </c>
      <c r="B104" s="2" t="s">
        <v>52</v>
      </c>
      <c r="C104" s="2" t="s">
        <v>467</v>
      </c>
      <c r="D104" s="2" t="s">
        <v>109</v>
      </c>
      <c r="E104" s="2" t="s">
        <v>98</v>
      </c>
      <c r="F104" s="2" t="s">
        <v>474</v>
      </c>
      <c r="G104" s="2" t="s">
        <v>1082</v>
      </c>
      <c r="H104" s="2" t="s">
        <v>41</v>
      </c>
      <c r="I104" s="2" t="s">
        <v>471</v>
      </c>
      <c r="J104" s="2" t="str">
        <f>IFERROR(INDEX('Functional Acceptance'!$L:$L,MATCH($I104,'Functional Acceptance'!$B:$B,0)),"")</f>
        <v>Not Built</v>
      </c>
      <c r="K104" s="7">
        <f>IFERROR(INDEX('Functional Acceptance'!$M:$M,MATCH($I104,'Functional Acceptance'!$B:$B,0)),"")</f>
        <v>0</v>
      </c>
      <c r="L104" s="2">
        <f>IFERROR(INDEX('Functional Acceptance'!$N:$N,MATCH($I104,'Functional Acceptance'!$B:$B,0)),"")</f>
        <v>0</v>
      </c>
      <c r="M104" s="2">
        <f>IFERROR(INDEX('Functional Acceptance'!$O:$O,MATCH($I104,'Functional Acceptance'!$B:$B,0)),"")</f>
        <v>0</v>
      </c>
      <c r="N104" s="2" t="s">
        <v>1075</v>
      </c>
      <c r="O104" s="2"/>
    </row>
    <row r="105" spans="1:15" ht="30" customHeight="1" x14ac:dyDescent="0.25">
      <c r="A105" s="2" t="s">
        <v>476</v>
      </c>
      <c r="B105" s="2" t="s">
        <v>52</v>
      </c>
      <c r="C105" s="2" t="s">
        <v>467</v>
      </c>
      <c r="D105" s="2" t="s">
        <v>109</v>
      </c>
      <c r="E105" s="2" t="s">
        <v>98</v>
      </c>
      <c r="F105" s="2" t="s">
        <v>478</v>
      </c>
      <c r="G105" s="2" t="s">
        <v>1082</v>
      </c>
      <c r="H105" s="2" t="s">
        <v>41</v>
      </c>
      <c r="I105" s="2" t="s">
        <v>475</v>
      </c>
      <c r="J105" s="2" t="str">
        <f>IFERROR(INDEX('Functional Acceptance'!$L:$L,MATCH($I105,'Functional Acceptance'!$B:$B,0)),"")</f>
        <v>Not Built</v>
      </c>
      <c r="K105" s="7">
        <f>IFERROR(INDEX('Functional Acceptance'!$M:$M,MATCH($I105,'Functional Acceptance'!$B:$B,0)),"")</f>
        <v>0</v>
      </c>
      <c r="L105" s="2">
        <f>IFERROR(INDEX('Functional Acceptance'!$N:$N,MATCH($I105,'Functional Acceptance'!$B:$B,0)),"")</f>
        <v>0</v>
      </c>
      <c r="M105" s="2">
        <f>IFERROR(INDEX('Functional Acceptance'!$O:$O,MATCH($I105,'Functional Acceptance'!$B:$B,0)),"")</f>
        <v>0</v>
      </c>
      <c r="N105" s="2" t="s">
        <v>1075</v>
      </c>
      <c r="O105" s="2"/>
    </row>
    <row r="106" spans="1:15" ht="15" customHeight="1" x14ac:dyDescent="0.25">
      <c r="A106" s="2" t="s">
        <v>480</v>
      </c>
      <c r="B106" s="2" t="s">
        <v>52</v>
      </c>
      <c r="C106" s="2" t="s">
        <v>467</v>
      </c>
      <c r="D106" s="2" t="s">
        <v>109</v>
      </c>
      <c r="E106" s="2" t="s">
        <v>98</v>
      </c>
      <c r="F106" s="2" t="s">
        <v>482</v>
      </c>
      <c r="G106" s="2" t="s">
        <v>1082</v>
      </c>
      <c r="H106" s="2" t="s">
        <v>41</v>
      </c>
      <c r="I106" s="2" t="s">
        <v>479</v>
      </c>
      <c r="J106" s="2" t="str">
        <f>IFERROR(INDEX('Functional Acceptance'!$L:$L,MATCH($I106,'Functional Acceptance'!$B:$B,0)),"")</f>
        <v>Not Built</v>
      </c>
      <c r="K106" s="7">
        <f>IFERROR(INDEX('Functional Acceptance'!$M:$M,MATCH($I106,'Functional Acceptance'!$B:$B,0)),"")</f>
        <v>0</v>
      </c>
      <c r="L106" s="2">
        <f>IFERROR(INDEX('Functional Acceptance'!$N:$N,MATCH($I106,'Functional Acceptance'!$B:$B,0)),"")</f>
        <v>0</v>
      </c>
      <c r="M106" s="2">
        <f>IFERROR(INDEX('Functional Acceptance'!$O:$O,MATCH($I106,'Functional Acceptance'!$B:$B,0)),"")</f>
        <v>0</v>
      </c>
      <c r="N106" s="2" t="s">
        <v>1075</v>
      </c>
      <c r="O106" s="2"/>
    </row>
    <row r="107" spans="1:15" ht="30" customHeight="1" x14ac:dyDescent="0.25">
      <c r="A107" s="2" t="s">
        <v>484</v>
      </c>
      <c r="B107" s="2" t="s">
        <v>52</v>
      </c>
      <c r="C107" s="2" t="s">
        <v>467</v>
      </c>
      <c r="D107" s="2" t="s">
        <v>109</v>
      </c>
      <c r="E107" s="2" t="s">
        <v>98</v>
      </c>
      <c r="F107" s="2" t="s">
        <v>486</v>
      </c>
      <c r="G107" s="2" t="s">
        <v>1082</v>
      </c>
      <c r="H107" s="2" t="s">
        <v>41</v>
      </c>
      <c r="I107" s="2" t="s">
        <v>483</v>
      </c>
      <c r="J107" s="2" t="str">
        <f>IFERROR(INDEX('Functional Acceptance'!$L:$L,MATCH($I107,'Functional Acceptance'!$B:$B,0)),"")</f>
        <v>Not Built</v>
      </c>
      <c r="K107" s="7">
        <f>IFERROR(INDEX('Functional Acceptance'!$M:$M,MATCH($I107,'Functional Acceptance'!$B:$B,0)),"")</f>
        <v>0</v>
      </c>
      <c r="L107" s="2">
        <f>IFERROR(INDEX('Functional Acceptance'!$N:$N,MATCH($I107,'Functional Acceptance'!$B:$B,0)),"")</f>
        <v>0</v>
      </c>
      <c r="M107" s="2">
        <f>IFERROR(INDEX('Functional Acceptance'!$O:$O,MATCH($I107,'Functional Acceptance'!$B:$B,0)),"")</f>
        <v>0</v>
      </c>
      <c r="N107" s="2" t="s">
        <v>1075</v>
      </c>
      <c r="O107" s="2"/>
    </row>
    <row r="108" spans="1:15" ht="30" customHeight="1" x14ac:dyDescent="0.25">
      <c r="A108" s="2" t="s">
        <v>488</v>
      </c>
      <c r="B108" s="2" t="s">
        <v>52</v>
      </c>
      <c r="C108" s="2" t="s">
        <v>467</v>
      </c>
      <c r="D108" s="2" t="s">
        <v>109</v>
      </c>
      <c r="E108" s="2" t="s">
        <v>98</v>
      </c>
      <c r="F108" s="2" t="s">
        <v>490</v>
      </c>
      <c r="G108" s="2" t="s">
        <v>1082</v>
      </c>
      <c r="H108" s="2" t="s">
        <v>41</v>
      </c>
      <c r="I108" s="2" t="s">
        <v>487</v>
      </c>
      <c r="J108" s="2" t="str">
        <f>IFERROR(INDEX('Functional Acceptance'!$L:$L,MATCH($I108,'Functional Acceptance'!$B:$B,0)),"")</f>
        <v>Not Built</v>
      </c>
      <c r="K108" s="7">
        <f>IFERROR(INDEX('Functional Acceptance'!$M:$M,MATCH($I108,'Functional Acceptance'!$B:$B,0)),"")</f>
        <v>0</v>
      </c>
      <c r="L108" s="2">
        <f>IFERROR(INDEX('Functional Acceptance'!$N:$N,MATCH($I108,'Functional Acceptance'!$B:$B,0)),"")</f>
        <v>0</v>
      </c>
      <c r="M108" s="2">
        <f>IFERROR(INDEX('Functional Acceptance'!$O:$O,MATCH($I108,'Functional Acceptance'!$B:$B,0)),"")</f>
        <v>0</v>
      </c>
      <c r="N108" s="2" t="s">
        <v>1075</v>
      </c>
      <c r="O108" s="2"/>
    </row>
    <row r="109" spans="1:15" ht="15" customHeight="1" x14ac:dyDescent="0.25">
      <c r="A109" s="2" t="s">
        <v>492</v>
      </c>
      <c r="B109" s="2" t="s">
        <v>52</v>
      </c>
      <c r="C109" s="2" t="s">
        <v>467</v>
      </c>
      <c r="D109" s="2" t="s">
        <v>109</v>
      </c>
      <c r="E109" s="2" t="s">
        <v>98</v>
      </c>
      <c r="F109" s="2" t="s">
        <v>494</v>
      </c>
      <c r="G109" s="2" t="s">
        <v>1082</v>
      </c>
      <c r="H109" s="2" t="s">
        <v>41</v>
      </c>
      <c r="I109" s="2" t="s">
        <v>491</v>
      </c>
      <c r="J109" s="2" t="str">
        <f>IFERROR(INDEX('Functional Acceptance'!$L:$L,MATCH($I109,'Functional Acceptance'!$B:$B,0)),"")</f>
        <v>Not Built</v>
      </c>
      <c r="K109" s="7">
        <f>IFERROR(INDEX('Functional Acceptance'!$M:$M,MATCH($I109,'Functional Acceptance'!$B:$B,0)),"")</f>
        <v>0</v>
      </c>
      <c r="L109" s="2">
        <f>IFERROR(INDEX('Functional Acceptance'!$N:$N,MATCH($I109,'Functional Acceptance'!$B:$B,0)),"")</f>
        <v>0</v>
      </c>
      <c r="M109" s="2">
        <f>IFERROR(INDEX('Functional Acceptance'!$O:$O,MATCH($I109,'Functional Acceptance'!$B:$B,0)),"")</f>
        <v>0</v>
      </c>
      <c r="N109" s="2" t="s">
        <v>1075</v>
      </c>
      <c r="O109" s="2"/>
    </row>
    <row r="110" spans="1:15" ht="15" customHeight="1" x14ac:dyDescent="0.25">
      <c r="A110" s="2" t="s">
        <v>496</v>
      </c>
      <c r="B110" s="2" t="s">
        <v>52</v>
      </c>
      <c r="C110" s="2" t="s">
        <v>467</v>
      </c>
      <c r="D110" s="2" t="s">
        <v>109</v>
      </c>
      <c r="E110" s="2" t="s">
        <v>98</v>
      </c>
      <c r="F110" s="2" t="s">
        <v>498</v>
      </c>
      <c r="G110" s="2" t="s">
        <v>1082</v>
      </c>
      <c r="H110" s="2" t="s">
        <v>41</v>
      </c>
      <c r="I110" s="2" t="s">
        <v>495</v>
      </c>
      <c r="J110" s="2" t="str">
        <f>IFERROR(INDEX('Functional Acceptance'!$L:$L,MATCH($I110,'Functional Acceptance'!$B:$B,0)),"")</f>
        <v>Not Built</v>
      </c>
      <c r="K110" s="7">
        <f>IFERROR(INDEX('Functional Acceptance'!$M:$M,MATCH($I110,'Functional Acceptance'!$B:$B,0)),"")</f>
        <v>0</v>
      </c>
      <c r="L110" s="2">
        <f>IFERROR(INDEX('Functional Acceptance'!$N:$N,MATCH($I110,'Functional Acceptance'!$B:$B,0)),"")</f>
        <v>0</v>
      </c>
      <c r="M110" s="2">
        <f>IFERROR(INDEX('Functional Acceptance'!$O:$O,MATCH($I110,'Functional Acceptance'!$B:$B,0)),"")</f>
        <v>0</v>
      </c>
      <c r="N110" s="2" t="s">
        <v>1075</v>
      </c>
      <c r="O110" s="2"/>
    </row>
    <row r="111" spans="1:15" ht="15" customHeight="1" x14ac:dyDescent="0.25">
      <c r="A111" s="2" t="s">
        <v>500</v>
      </c>
      <c r="B111" s="2" t="s">
        <v>52</v>
      </c>
      <c r="C111" s="2" t="s">
        <v>467</v>
      </c>
      <c r="D111" s="2" t="s">
        <v>109</v>
      </c>
      <c r="E111" s="2" t="s">
        <v>98</v>
      </c>
      <c r="F111" s="2" t="s">
        <v>502</v>
      </c>
      <c r="G111" s="2" t="s">
        <v>1082</v>
      </c>
      <c r="H111" s="2" t="s">
        <v>41</v>
      </c>
      <c r="I111" s="2" t="s">
        <v>499</v>
      </c>
      <c r="J111" s="2" t="str">
        <f>IFERROR(INDEX('Functional Acceptance'!$L:$L,MATCH($I111,'Functional Acceptance'!$B:$B,0)),"")</f>
        <v>Not Built</v>
      </c>
      <c r="K111" s="7">
        <f>IFERROR(INDEX('Functional Acceptance'!$M:$M,MATCH($I111,'Functional Acceptance'!$B:$B,0)),"")</f>
        <v>0</v>
      </c>
      <c r="L111" s="2">
        <f>IFERROR(INDEX('Functional Acceptance'!$N:$N,MATCH($I111,'Functional Acceptance'!$B:$B,0)),"")</f>
        <v>0</v>
      </c>
      <c r="M111" s="2">
        <f>IFERROR(INDEX('Functional Acceptance'!$O:$O,MATCH($I111,'Functional Acceptance'!$B:$B,0)),"")</f>
        <v>0</v>
      </c>
      <c r="N111" s="2" t="s">
        <v>1075</v>
      </c>
      <c r="O111" s="2"/>
    </row>
    <row r="112" spans="1:15" ht="15" customHeight="1" x14ac:dyDescent="0.25">
      <c r="A112" s="2" t="s">
        <v>504</v>
      </c>
      <c r="B112" s="2" t="s">
        <v>52</v>
      </c>
      <c r="C112" s="2" t="s">
        <v>467</v>
      </c>
      <c r="D112" s="2" t="s">
        <v>109</v>
      </c>
      <c r="E112" s="2" t="s">
        <v>98</v>
      </c>
      <c r="F112" s="2" t="s">
        <v>506</v>
      </c>
      <c r="G112" s="2" t="s">
        <v>1082</v>
      </c>
      <c r="H112" s="2" t="s">
        <v>41</v>
      </c>
      <c r="I112" s="2" t="s">
        <v>503</v>
      </c>
      <c r="J112" s="2" t="str">
        <f>IFERROR(INDEX('Functional Acceptance'!$L:$L,MATCH($I112,'Functional Acceptance'!$B:$B,0)),"")</f>
        <v>Not Built</v>
      </c>
      <c r="K112" s="7">
        <f>IFERROR(INDEX('Functional Acceptance'!$M:$M,MATCH($I112,'Functional Acceptance'!$B:$B,0)),"")</f>
        <v>0</v>
      </c>
      <c r="L112" s="2">
        <f>IFERROR(INDEX('Functional Acceptance'!$N:$N,MATCH($I112,'Functional Acceptance'!$B:$B,0)),"")</f>
        <v>0</v>
      </c>
      <c r="M112" s="2">
        <f>IFERROR(INDEX('Functional Acceptance'!$O:$O,MATCH($I112,'Functional Acceptance'!$B:$B,0)),"")</f>
        <v>0</v>
      </c>
      <c r="N112" s="2" t="s">
        <v>1075</v>
      </c>
      <c r="O112" s="2"/>
    </row>
    <row r="113" spans="1:15" ht="15" customHeight="1" x14ac:dyDescent="0.25">
      <c r="A113" s="2" t="s">
        <v>508</v>
      </c>
      <c r="B113" s="2" t="s">
        <v>52</v>
      </c>
      <c r="C113" s="2" t="s">
        <v>467</v>
      </c>
      <c r="D113" s="2" t="s">
        <v>109</v>
      </c>
      <c r="E113" s="2" t="s">
        <v>98</v>
      </c>
      <c r="F113" s="2" t="s">
        <v>511</v>
      </c>
      <c r="G113" s="2" t="s">
        <v>1082</v>
      </c>
      <c r="H113" s="2" t="s">
        <v>41</v>
      </c>
      <c r="I113" s="2" t="s">
        <v>507</v>
      </c>
      <c r="J113" s="2" t="str">
        <f>IFERROR(INDEX('Functional Acceptance'!$L:$L,MATCH($I113,'Functional Acceptance'!$B:$B,0)),"")</f>
        <v>Not Built</v>
      </c>
      <c r="K113" s="7">
        <f>IFERROR(INDEX('Functional Acceptance'!$M:$M,MATCH($I113,'Functional Acceptance'!$B:$B,0)),"")</f>
        <v>0</v>
      </c>
      <c r="L113" s="2">
        <f>IFERROR(INDEX('Functional Acceptance'!$N:$N,MATCH($I113,'Functional Acceptance'!$B:$B,0)),"")</f>
        <v>0</v>
      </c>
      <c r="M113" s="2">
        <f>IFERROR(INDEX('Functional Acceptance'!$O:$O,MATCH($I113,'Functional Acceptance'!$B:$B,0)),"")</f>
        <v>0</v>
      </c>
      <c r="N113" s="2" t="s">
        <v>1075</v>
      </c>
      <c r="O113" s="2"/>
    </row>
    <row r="114" spans="1:15" ht="15" customHeight="1" x14ac:dyDescent="0.25">
      <c r="A114" s="2" t="s">
        <v>513</v>
      </c>
      <c r="B114" s="2" t="s">
        <v>52</v>
      </c>
      <c r="C114" s="2" t="s">
        <v>467</v>
      </c>
      <c r="D114" s="2" t="s">
        <v>109</v>
      </c>
      <c r="E114" s="2" t="s">
        <v>98</v>
      </c>
      <c r="F114" s="2" t="s">
        <v>515</v>
      </c>
      <c r="G114" s="2" t="s">
        <v>1082</v>
      </c>
      <c r="H114" s="2" t="s">
        <v>41</v>
      </c>
      <c r="I114" s="2" t="s">
        <v>512</v>
      </c>
      <c r="J114" s="2" t="str">
        <f>IFERROR(INDEX('Functional Acceptance'!$L:$L,MATCH($I114,'Functional Acceptance'!$B:$B,0)),"")</f>
        <v>Not Built</v>
      </c>
      <c r="K114" s="7">
        <f>IFERROR(INDEX('Functional Acceptance'!$M:$M,MATCH($I114,'Functional Acceptance'!$B:$B,0)),"")</f>
        <v>0</v>
      </c>
      <c r="L114" s="2">
        <f>IFERROR(INDEX('Functional Acceptance'!$N:$N,MATCH($I114,'Functional Acceptance'!$B:$B,0)),"")</f>
        <v>0</v>
      </c>
      <c r="M114" s="2">
        <f>IFERROR(INDEX('Functional Acceptance'!$O:$O,MATCH($I114,'Functional Acceptance'!$B:$B,0)),"")</f>
        <v>0</v>
      </c>
      <c r="N114" s="2" t="s">
        <v>1075</v>
      </c>
      <c r="O114" s="2"/>
    </row>
    <row r="115" spans="1:15" ht="15" customHeight="1" x14ac:dyDescent="0.25">
      <c r="A115" s="2" t="s">
        <v>517</v>
      </c>
      <c r="B115" s="2" t="s">
        <v>52</v>
      </c>
      <c r="C115" s="2" t="s">
        <v>467</v>
      </c>
      <c r="D115" s="2" t="s">
        <v>109</v>
      </c>
      <c r="E115" s="2" t="s">
        <v>98</v>
      </c>
      <c r="F115" s="2" t="s">
        <v>520</v>
      </c>
      <c r="G115" s="2" t="s">
        <v>1082</v>
      </c>
      <c r="H115" s="2" t="s">
        <v>41</v>
      </c>
      <c r="I115" s="2" t="s">
        <v>516</v>
      </c>
      <c r="J115" s="2" t="str">
        <f>IFERROR(INDEX('Functional Acceptance'!$L:$L,MATCH($I115,'Functional Acceptance'!$B:$B,0)),"")</f>
        <v>Not Built</v>
      </c>
      <c r="K115" s="7">
        <f>IFERROR(INDEX('Functional Acceptance'!$M:$M,MATCH($I115,'Functional Acceptance'!$B:$B,0)),"")</f>
        <v>0</v>
      </c>
      <c r="L115" s="2">
        <f>IFERROR(INDEX('Functional Acceptance'!$N:$N,MATCH($I115,'Functional Acceptance'!$B:$B,0)),"")</f>
        <v>0</v>
      </c>
      <c r="M115" s="2">
        <f>IFERROR(INDEX('Functional Acceptance'!$O:$O,MATCH($I115,'Functional Acceptance'!$B:$B,0)),"")</f>
        <v>0</v>
      </c>
      <c r="N115" s="2" t="s">
        <v>1075</v>
      </c>
      <c r="O115" s="2"/>
    </row>
    <row r="116" spans="1:15" ht="30" customHeight="1" x14ac:dyDescent="0.25">
      <c r="A116" s="2" t="s">
        <v>522</v>
      </c>
      <c r="B116" s="2" t="s">
        <v>52</v>
      </c>
      <c r="C116" s="2" t="s">
        <v>467</v>
      </c>
      <c r="D116" s="2" t="s">
        <v>109</v>
      </c>
      <c r="E116" s="2" t="s">
        <v>141</v>
      </c>
      <c r="F116" s="2" t="s">
        <v>525</v>
      </c>
      <c r="G116" s="2" t="s">
        <v>1082</v>
      </c>
      <c r="H116" s="2" t="s">
        <v>41</v>
      </c>
      <c r="I116" s="2" t="s">
        <v>521</v>
      </c>
      <c r="J116" s="2" t="str">
        <f>IFERROR(INDEX('Functional Acceptance'!$L:$L,MATCH($I116,'Functional Acceptance'!$B:$B,0)),"")</f>
        <v>Not Built</v>
      </c>
      <c r="K116" s="7">
        <f>IFERROR(INDEX('Functional Acceptance'!$M:$M,MATCH($I116,'Functional Acceptance'!$B:$B,0)),"")</f>
        <v>0</v>
      </c>
      <c r="L116" s="2">
        <f>IFERROR(INDEX('Functional Acceptance'!$N:$N,MATCH($I116,'Functional Acceptance'!$B:$B,0)),"")</f>
        <v>0</v>
      </c>
      <c r="M116" s="2">
        <f>IFERROR(INDEX('Functional Acceptance'!$O:$O,MATCH($I116,'Functional Acceptance'!$B:$B,0)),"")</f>
        <v>0</v>
      </c>
      <c r="N116" s="2" t="s">
        <v>1075</v>
      </c>
      <c r="O116" s="2"/>
    </row>
    <row r="117" spans="1:15" ht="15" customHeight="1" x14ac:dyDescent="0.25">
      <c r="A117" s="2" t="s">
        <v>527</v>
      </c>
      <c r="B117" s="2" t="s">
        <v>52</v>
      </c>
      <c r="C117" s="2" t="s">
        <v>467</v>
      </c>
      <c r="D117" s="2" t="s">
        <v>109</v>
      </c>
      <c r="E117" s="2" t="s">
        <v>141</v>
      </c>
      <c r="F117" s="2" t="s">
        <v>529</v>
      </c>
      <c r="G117" s="2" t="s">
        <v>1082</v>
      </c>
      <c r="H117" s="2" t="s">
        <v>41</v>
      </c>
      <c r="I117" s="2" t="s">
        <v>526</v>
      </c>
      <c r="J117" s="2" t="str">
        <f>IFERROR(INDEX('Functional Acceptance'!$L:$L,MATCH($I117,'Functional Acceptance'!$B:$B,0)),"")</f>
        <v>Not Built</v>
      </c>
      <c r="K117" s="7">
        <f>IFERROR(INDEX('Functional Acceptance'!$M:$M,MATCH($I117,'Functional Acceptance'!$B:$B,0)),"")</f>
        <v>0</v>
      </c>
      <c r="L117" s="2">
        <f>IFERROR(INDEX('Functional Acceptance'!$N:$N,MATCH($I117,'Functional Acceptance'!$B:$B,0)),"")</f>
        <v>0</v>
      </c>
      <c r="M117" s="2">
        <f>IFERROR(INDEX('Functional Acceptance'!$O:$O,MATCH($I117,'Functional Acceptance'!$B:$B,0)),"")</f>
        <v>0</v>
      </c>
      <c r="N117" s="2" t="s">
        <v>1075</v>
      </c>
      <c r="O117" s="2"/>
    </row>
    <row r="118" spans="1:15" ht="30" customHeight="1" x14ac:dyDescent="0.25">
      <c r="A118" s="2" t="s">
        <v>531</v>
      </c>
      <c r="B118" s="2" t="s">
        <v>52</v>
      </c>
      <c r="C118" s="2" t="s">
        <v>467</v>
      </c>
      <c r="D118" s="2" t="s">
        <v>109</v>
      </c>
      <c r="E118" s="2" t="s">
        <v>98</v>
      </c>
      <c r="F118" s="2" t="s">
        <v>533</v>
      </c>
      <c r="G118" s="2" t="s">
        <v>1082</v>
      </c>
      <c r="H118" s="2" t="s">
        <v>41</v>
      </c>
      <c r="I118" s="2" t="s">
        <v>530</v>
      </c>
      <c r="J118" s="2" t="str">
        <f>IFERROR(INDEX('Functional Acceptance'!$L:$L,MATCH($I118,'Functional Acceptance'!$B:$B,0)),"")</f>
        <v>Not Built</v>
      </c>
      <c r="K118" s="7">
        <f>IFERROR(INDEX('Functional Acceptance'!$M:$M,MATCH($I118,'Functional Acceptance'!$B:$B,0)),"")</f>
        <v>0</v>
      </c>
      <c r="L118" s="2">
        <f>IFERROR(INDEX('Functional Acceptance'!$N:$N,MATCH($I118,'Functional Acceptance'!$B:$B,0)),"")</f>
        <v>0</v>
      </c>
      <c r="M118" s="2">
        <f>IFERROR(INDEX('Functional Acceptance'!$O:$O,MATCH($I118,'Functional Acceptance'!$B:$B,0)),"")</f>
        <v>0</v>
      </c>
      <c r="N118" s="2" t="s">
        <v>1075</v>
      </c>
      <c r="O118" s="2"/>
    </row>
    <row r="119" spans="1:15" ht="30" customHeight="1" x14ac:dyDescent="0.25">
      <c r="A119" s="2" t="s">
        <v>535</v>
      </c>
      <c r="B119" s="2" t="s">
        <v>52</v>
      </c>
      <c r="C119" s="2" t="s">
        <v>467</v>
      </c>
      <c r="D119" s="2" t="s">
        <v>109</v>
      </c>
      <c r="E119" s="2" t="s">
        <v>98</v>
      </c>
      <c r="F119" s="2" t="s">
        <v>537</v>
      </c>
      <c r="G119" s="2" t="s">
        <v>1082</v>
      </c>
      <c r="H119" s="2" t="s">
        <v>41</v>
      </c>
      <c r="I119" s="2" t="s">
        <v>534</v>
      </c>
      <c r="J119" s="2" t="str">
        <f>IFERROR(INDEX('Functional Acceptance'!$L:$L,MATCH($I119,'Functional Acceptance'!$B:$B,0)),"")</f>
        <v>Not Built</v>
      </c>
      <c r="K119" s="7">
        <f>IFERROR(INDEX('Functional Acceptance'!$M:$M,MATCH($I119,'Functional Acceptance'!$B:$B,0)),"")</f>
        <v>0</v>
      </c>
      <c r="L119" s="2">
        <f>IFERROR(INDEX('Functional Acceptance'!$N:$N,MATCH($I119,'Functional Acceptance'!$B:$B,0)),"")</f>
        <v>0</v>
      </c>
      <c r="M119" s="2">
        <f>IFERROR(INDEX('Functional Acceptance'!$O:$O,MATCH($I119,'Functional Acceptance'!$B:$B,0)),"")</f>
        <v>0</v>
      </c>
      <c r="N119" s="2" t="s">
        <v>1075</v>
      </c>
      <c r="O119" s="2"/>
    </row>
    <row r="120" spans="1:15" ht="30" customHeight="1" x14ac:dyDescent="0.25">
      <c r="A120" s="2" t="s">
        <v>539</v>
      </c>
      <c r="B120" s="2" t="s">
        <v>52</v>
      </c>
      <c r="C120" s="2" t="s">
        <v>467</v>
      </c>
      <c r="D120" s="2" t="s">
        <v>109</v>
      </c>
      <c r="E120" s="2" t="s">
        <v>98</v>
      </c>
      <c r="F120" s="2" t="s">
        <v>541</v>
      </c>
      <c r="G120" s="2" t="s">
        <v>1082</v>
      </c>
      <c r="H120" s="2" t="s">
        <v>41</v>
      </c>
      <c r="I120" s="2" t="s">
        <v>538</v>
      </c>
      <c r="J120" s="2" t="str">
        <f>IFERROR(INDEX('Functional Acceptance'!$L:$L,MATCH($I120,'Functional Acceptance'!$B:$B,0)),"")</f>
        <v>Not Built</v>
      </c>
      <c r="K120" s="7">
        <f>IFERROR(INDEX('Functional Acceptance'!$M:$M,MATCH($I120,'Functional Acceptance'!$B:$B,0)),"")</f>
        <v>0</v>
      </c>
      <c r="L120" s="2">
        <f>IFERROR(INDEX('Functional Acceptance'!$N:$N,MATCH($I120,'Functional Acceptance'!$B:$B,0)),"")</f>
        <v>0</v>
      </c>
      <c r="M120" s="2">
        <f>IFERROR(INDEX('Functional Acceptance'!$O:$O,MATCH($I120,'Functional Acceptance'!$B:$B,0)),"")</f>
        <v>0</v>
      </c>
      <c r="N120" s="2" t="s">
        <v>1075</v>
      </c>
      <c r="O120" s="2"/>
    </row>
    <row r="121" spans="1:15" ht="45" customHeight="1" x14ac:dyDescent="0.25">
      <c r="A121" s="2" t="s">
        <v>543</v>
      </c>
      <c r="B121" s="2" t="s">
        <v>52</v>
      </c>
      <c r="C121" s="2" t="s">
        <v>467</v>
      </c>
      <c r="D121" s="2" t="s">
        <v>109</v>
      </c>
      <c r="E121" s="2" t="s">
        <v>98</v>
      </c>
      <c r="F121" s="2" t="s">
        <v>545</v>
      </c>
      <c r="G121" s="2" t="s">
        <v>1082</v>
      </c>
      <c r="H121" s="2" t="s">
        <v>41</v>
      </c>
      <c r="I121" s="2" t="s">
        <v>542</v>
      </c>
      <c r="J121" s="2" t="str">
        <f>IFERROR(INDEX('Functional Acceptance'!$L:$L,MATCH($I121,'Functional Acceptance'!$B:$B,0)),"")</f>
        <v>Not Built</v>
      </c>
      <c r="K121" s="7">
        <f>IFERROR(INDEX('Functional Acceptance'!$M:$M,MATCH($I121,'Functional Acceptance'!$B:$B,0)),"")</f>
        <v>0</v>
      </c>
      <c r="L121" s="2">
        <f>IFERROR(INDEX('Functional Acceptance'!$N:$N,MATCH($I121,'Functional Acceptance'!$B:$B,0)),"")</f>
        <v>0</v>
      </c>
      <c r="M121" s="2">
        <f>IFERROR(INDEX('Functional Acceptance'!$O:$O,MATCH($I121,'Functional Acceptance'!$B:$B,0)),"")</f>
        <v>0</v>
      </c>
      <c r="N121" s="2" t="s">
        <v>1075</v>
      </c>
      <c r="O121" s="2"/>
    </row>
    <row r="122" spans="1:15" ht="15" customHeight="1" x14ac:dyDescent="0.25">
      <c r="A122" s="2" t="s">
        <v>547</v>
      </c>
      <c r="B122" s="2" t="s">
        <v>52</v>
      </c>
      <c r="C122" s="2" t="s">
        <v>467</v>
      </c>
      <c r="D122" s="2" t="s">
        <v>109</v>
      </c>
      <c r="E122" s="2" t="s">
        <v>98</v>
      </c>
      <c r="F122" s="2" t="s">
        <v>549</v>
      </c>
      <c r="G122" s="2" t="s">
        <v>1082</v>
      </c>
      <c r="H122" s="2" t="s">
        <v>41</v>
      </c>
      <c r="I122" s="2" t="s">
        <v>546</v>
      </c>
      <c r="J122" s="2" t="str">
        <f>IFERROR(INDEX('Functional Acceptance'!$L:$L,MATCH($I122,'Functional Acceptance'!$B:$B,0)),"")</f>
        <v>Not Built</v>
      </c>
      <c r="K122" s="7">
        <f>IFERROR(INDEX('Functional Acceptance'!$M:$M,MATCH($I122,'Functional Acceptance'!$B:$B,0)),"")</f>
        <v>0</v>
      </c>
      <c r="L122" s="2">
        <f>IFERROR(INDEX('Functional Acceptance'!$N:$N,MATCH($I122,'Functional Acceptance'!$B:$B,0)),"")</f>
        <v>0</v>
      </c>
      <c r="M122" s="2">
        <f>IFERROR(INDEX('Functional Acceptance'!$O:$O,MATCH($I122,'Functional Acceptance'!$B:$B,0)),"")</f>
        <v>0</v>
      </c>
      <c r="N122" s="2" t="s">
        <v>1075</v>
      </c>
      <c r="O122" s="2"/>
    </row>
    <row r="123" spans="1:15" ht="30" customHeight="1" x14ac:dyDescent="0.25">
      <c r="A123" s="2" t="s">
        <v>551</v>
      </c>
      <c r="B123" s="2" t="s">
        <v>52</v>
      </c>
      <c r="C123" s="2" t="s">
        <v>467</v>
      </c>
      <c r="D123" s="2" t="s">
        <v>109</v>
      </c>
      <c r="E123" s="2" t="s">
        <v>98</v>
      </c>
      <c r="F123" s="2" t="s">
        <v>553</v>
      </c>
      <c r="G123" s="2" t="s">
        <v>1082</v>
      </c>
      <c r="H123" s="2" t="s">
        <v>41</v>
      </c>
      <c r="I123" s="2" t="s">
        <v>550</v>
      </c>
      <c r="J123" s="2" t="str">
        <f>IFERROR(INDEX('Functional Acceptance'!$L:$L,MATCH($I123,'Functional Acceptance'!$B:$B,0)),"")</f>
        <v>Not Built</v>
      </c>
      <c r="K123" s="7">
        <f>IFERROR(INDEX('Functional Acceptance'!$M:$M,MATCH($I123,'Functional Acceptance'!$B:$B,0)),"")</f>
        <v>0</v>
      </c>
      <c r="L123" s="2">
        <f>IFERROR(INDEX('Functional Acceptance'!$N:$N,MATCH($I123,'Functional Acceptance'!$B:$B,0)),"")</f>
        <v>0</v>
      </c>
      <c r="M123" s="2">
        <f>IFERROR(INDEX('Functional Acceptance'!$O:$O,MATCH($I123,'Functional Acceptance'!$B:$B,0)),"")</f>
        <v>0</v>
      </c>
      <c r="N123" s="2" t="s">
        <v>1075</v>
      </c>
      <c r="O123" s="2"/>
    </row>
    <row r="124" spans="1:15" ht="15" customHeight="1" x14ac:dyDescent="0.25">
      <c r="A124" s="2" t="s">
        <v>555</v>
      </c>
      <c r="B124" s="2" t="s">
        <v>52</v>
      </c>
      <c r="C124" s="2" t="s">
        <v>467</v>
      </c>
      <c r="D124" s="2" t="s">
        <v>109</v>
      </c>
      <c r="E124" s="2" t="s">
        <v>98</v>
      </c>
      <c r="F124" s="2" t="s">
        <v>557</v>
      </c>
      <c r="G124" s="2" t="s">
        <v>1082</v>
      </c>
      <c r="H124" s="2" t="s">
        <v>41</v>
      </c>
      <c r="I124" s="2" t="s">
        <v>554</v>
      </c>
      <c r="J124" s="2" t="str">
        <f>IFERROR(INDEX('Functional Acceptance'!$L:$L,MATCH($I124,'Functional Acceptance'!$B:$B,0)),"")</f>
        <v>Not Built</v>
      </c>
      <c r="K124" s="7">
        <f>IFERROR(INDEX('Functional Acceptance'!$M:$M,MATCH($I124,'Functional Acceptance'!$B:$B,0)),"")</f>
        <v>0</v>
      </c>
      <c r="L124" s="2">
        <f>IFERROR(INDEX('Functional Acceptance'!$N:$N,MATCH($I124,'Functional Acceptance'!$B:$B,0)),"")</f>
        <v>0</v>
      </c>
      <c r="M124" s="2">
        <f>IFERROR(INDEX('Functional Acceptance'!$O:$O,MATCH($I124,'Functional Acceptance'!$B:$B,0)),"")</f>
        <v>0</v>
      </c>
      <c r="N124" s="2" t="s">
        <v>1075</v>
      </c>
      <c r="O124" s="2"/>
    </row>
    <row r="125" spans="1:15" ht="30" customHeight="1" x14ac:dyDescent="0.25">
      <c r="A125" s="2" t="s">
        <v>559</v>
      </c>
      <c r="B125" s="2" t="s">
        <v>52</v>
      </c>
      <c r="C125" s="2" t="s">
        <v>467</v>
      </c>
      <c r="D125" s="2" t="s">
        <v>109</v>
      </c>
      <c r="E125" s="2" t="s">
        <v>98</v>
      </c>
      <c r="F125" s="2" t="s">
        <v>561</v>
      </c>
      <c r="G125" s="2" t="s">
        <v>1082</v>
      </c>
      <c r="H125" s="2" t="s">
        <v>41</v>
      </c>
      <c r="I125" s="2" t="s">
        <v>558</v>
      </c>
      <c r="J125" s="2" t="str">
        <f>IFERROR(INDEX('Functional Acceptance'!$L:$L,MATCH($I125,'Functional Acceptance'!$B:$B,0)),"")</f>
        <v>Not Built</v>
      </c>
      <c r="K125" s="7">
        <f>IFERROR(INDEX('Functional Acceptance'!$M:$M,MATCH($I125,'Functional Acceptance'!$B:$B,0)),"")</f>
        <v>0</v>
      </c>
      <c r="L125" s="2">
        <f>IFERROR(INDEX('Functional Acceptance'!$N:$N,MATCH($I125,'Functional Acceptance'!$B:$B,0)),"")</f>
        <v>0</v>
      </c>
      <c r="M125" s="2">
        <f>IFERROR(INDEX('Functional Acceptance'!$O:$O,MATCH($I125,'Functional Acceptance'!$B:$B,0)),"")</f>
        <v>0</v>
      </c>
      <c r="N125" s="2" t="s">
        <v>1075</v>
      </c>
      <c r="O125" s="2"/>
    </row>
    <row r="126" spans="1:15" ht="15" customHeight="1" x14ac:dyDescent="0.25">
      <c r="A126" s="2" t="s">
        <v>563</v>
      </c>
      <c r="B126" s="2" t="s">
        <v>52</v>
      </c>
      <c r="C126" s="2" t="s">
        <v>467</v>
      </c>
      <c r="D126" s="2" t="s">
        <v>109</v>
      </c>
      <c r="E126" s="2" t="s">
        <v>98</v>
      </c>
      <c r="F126" s="2" t="s">
        <v>565</v>
      </c>
      <c r="G126" s="2" t="s">
        <v>1082</v>
      </c>
      <c r="H126" s="2" t="s">
        <v>41</v>
      </c>
      <c r="I126" s="2" t="s">
        <v>562</v>
      </c>
      <c r="J126" s="2" t="str">
        <f>IFERROR(INDEX('Functional Acceptance'!$L:$L,MATCH($I126,'Functional Acceptance'!$B:$B,0)),"")</f>
        <v>Not Built</v>
      </c>
      <c r="K126" s="7">
        <f>IFERROR(INDEX('Functional Acceptance'!$M:$M,MATCH($I126,'Functional Acceptance'!$B:$B,0)),"")</f>
        <v>0</v>
      </c>
      <c r="L126" s="2">
        <f>IFERROR(INDEX('Functional Acceptance'!$N:$N,MATCH($I126,'Functional Acceptance'!$B:$B,0)),"")</f>
        <v>0</v>
      </c>
      <c r="M126" s="2">
        <f>IFERROR(INDEX('Functional Acceptance'!$O:$O,MATCH($I126,'Functional Acceptance'!$B:$B,0)),"")</f>
        <v>0</v>
      </c>
      <c r="N126" s="2" t="s">
        <v>1075</v>
      </c>
      <c r="O126" s="2"/>
    </row>
    <row r="127" spans="1:15" ht="30" customHeight="1" x14ac:dyDescent="0.25">
      <c r="A127" s="2" t="s">
        <v>567</v>
      </c>
      <c r="B127" s="2" t="s">
        <v>52</v>
      </c>
      <c r="C127" s="2" t="s">
        <v>467</v>
      </c>
      <c r="D127" s="2" t="s">
        <v>109</v>
      </c>
      <c r="E127" s="2" t="s">
        <v>98</v>
      </c>
      <c r="F127" s="2" t="s">
        <v>569</v>
      </c>
      <c r="G127" s="2" t="s">
        <v>1082</v>
      </c>
      <c r="H127" s="2" t="s">
        <v>41</v>
      </c>
      <c r="I127" s="2" t="s">
        <v>566</v>
      </c>
      <c r="J127" s="2" t="str">
        <f>IFERROR(INDEX('Functional Acceptance'!$L:$L,MATCH($I127,'Functional Acceptance'!$B:$B,0)),"")</f>
        <v>Not Built</v>
      </c>
      <c r="K127" s="7">
        <f>IFERROR(INDEX('Functional Acceptance'!$M:$M,MATCH($I127,'Functional Acceptance'!$B:$B,0)),"")</f>
        <v>0</v>
      </c>
      <c r="L127" s="2">
        <f>IFERROR(INDEX('Functional Acceptance'!$N:$N,MATCH($I127,'Functional Acceptance'!$B:$B,0)),"")</f>
        <v>0</v>
      </c>
      <c r="M127" s="2">
        <f>IFERROR(INDEX('Functional Acceptance'!$O:$O,MATCH($I127,'Functional Acceptance'!$B:$B,0)),"")</f>
        <v>0</v>
      </c>
      <c r="N127" s="2" t="s">
        <v>1075</v>
      </c>
      <c r="O127" s="2"/>
    </row>
    <row r="128" spans="1:15" ht="45" customHeight="1" x14ac:dyDescent="0.25">
      <c r="A128" s="2" t="s">
        <v>571</v>
      </c>
      <c r="B128" s="2" t="s">
        <v>52</v>
      </c>
      <c r="C128" s="2" t="s">
        <v>467</v>
      </c>
      <c r="D128" s="2" t="s">
        <v>109</v>
      </c>
      <c r="E128" s="2" t="s">
        <v>98</v>
      </c>
      <c r="F128" s="2" t="s">
        <v>573</v>
      </c>
      <c r="G128" s="2" t="s">
        <v>1082</v>
      </c>
      <c r="H128" s="2" t="s">
        <v>41</v>
      </c>
      <c r="I128" s="2" t="s">
        <v>570</v>
      </c>
      <c r="J128" s="2" t="str">
        <f>IFERROR(INDEX('Functional Acceptance'!$L:$L,MATCH($I128,'Functional Acceptance'!$B:$B,0)),"")</f>
        <v>Not Built</v>
      </c>
      <c r="K128" s="7">
        <f>IFERROR(INDEX('Functional Acceptance'!$M:$M,MATCH($I128,'Functional Acceptance'!$B:$B,0)),"")</f>
        <v>0</v>
      </c>
      <c r="L128" s="2">
        <f>IFERROR(INDEX('Functional Acceptance'!$N:$N,MATCH($I128,'Functional Acceptance'!$B:$B,0)),"")</f>
        <v>0</v>
      </c>
      <c r="M128" s="2">
        <f>IFERROR(INDEX('Functional Acceptance'!$O:$O,MATCH($I128,'Functional Acceptance'!$B:$B,0)),"")</f>
        <v>0</v>
      </c>
      <c r="N128" s="2" t="s">
        <v>1075</v>
      </c>
      <c r="O128" s="2"/>
    </row>
    <row r="129" spans="1:15" ht="30" customHeight="1" x14ac:dyDescent="0.25">
      <c r="A129" s="2" t="s">
        <v>575</v>
      </c>
      <c r="B129" s="2" t="s">
        <v>52</v>
      </c>
      <c r="C129" s="2" t="s">
        <v>467</v>
      </c>
      <c r="D129" s="2" t="s">
        <v>109</v>
      </c>
      <c r="E129" s="2" t="s">
        <v>135</v>
      </c>
      <c r="F129" s="2" t="s">
        <v>577</v>
      </c>
      <c r="G129" s="2" t="s">
        <v>1082</v>
      </c>
      <c r="H129" s="2" t="s">
        <v>41</v>
      </c>
      <c r="I129" s="2" t="s">
        <v>574</v>
      </c>
      <c r="J129" s="2" t="str">
        <f>IFERROR(INDEX('Functional Acceptance'!$L:$L,MATCH($I129,'Functional Acceptance'!$B:$B,0)),"")</f>
        <v>Not Built</v>
      </c>
      <c r="K129" s="7">
        <f>IFERROR(INDEX('Functional Acceptance'!$M:$M,MATCH($I129,'Functional Acceptance'!$B:$B,0)),"")</f>
        <v>0</v>
      </c>
      <c r="L129" s="2">
        <f>IFERROR(INDEX('Functional Acceptance'!$N:$N,MATCH($I129,'Functional Acceptance'!$B:$B,0)),"")</f>
        <v>0</v>
      </c>
      <c r="M129" s="2">
        <f>IFERROR(INDEX('Functional Acceptance'!$O:$O,MATCH($I129,'Functional Acceptance'!$B:$B,0)),"")</f>
        <v>0</v>
      </c>
      <c r="N129" s="2" t="s">
        <v>1075</v>
      </c>
      <c r="O129" s="2"/>
    </row>
    <row r="130" spans="1:15" ht="45" customHeight="1" x14ac:dyDescent="0.25">
      <c r="A130" s="2" t="s">
        <v>579</v>
      </c>
      <c r="B130" s="2" t="s">
        <v>52</v>
      </c>
      <c r="C130" s="2" t="s">
        <v>467</v>
      </c>
      <c r="D130" s="2" t="s">
        <v>234</v>
      </c>
      <c r="E130" s="2" t="s">
        <v>98</v>
      </c>
      <c r="F130" s="2" t="s">
        <v>581</v>
      </c>
      <c r="G130" s="2" t="s">
        <v>1082</v>
      </c>
      <c r="H130" s="2" t="s">
        <v>41</v>
      </c>
      <c r="I130" s="2" t="s">
        <v>578</v>
      </c>
      <c r="J130" s="2" t="str">
        <f>IFERROR(INDEX('Functional Acceptance'!$L:$L,MATCH($I130,'Functional Acceptance'!$B:$B,0)),"")</f>
        <v>Not Built</v>
      </c>
      <c r="K130" s="7">
        <f>IFERROR(INDEX('Functional Acceptance'!$M:$M,MATCH($I130,'Functional Acceptance'!$B:$B,0)),"")</f>
        <v>0</v>
      </c>
      <c r="L130" s="2">
        <f>IFERROR(INDEX('Functional Acceptance'!$N:$N,MATCH($I130,'Functional Acceptance'!$B:$B,0)),"")</f>
        <v>0</v>
      </c>
      <c r="M130" s="2">
        <f>IFERROR(INDEX('Functional Acceptance'!$O:$O,MATCH($I130,'Functional Acceptance'!$B:$B,0)),"")</f>
        <v>0</v>
      </c>
      <c r="N130" s="2" t="s">
        <v>1075</v>
      </c>
      <c r="O130" s="2"/>
    </row>
    <row r="131" spans="1:15" ht="60" customHeight="1" x14ac:dyDescent="0.25">
      <c r="A131" s="2" t="s">
        <v>583</v>
      </c>
      <c r="B131" s="2" t="s">
        <v>52</v>
      </c>
      <c r="C131" s="2" t="s">
        <v>467</v>
      </c>
      <c r="D131" s="2" t="s">
        <v>109</v>
      </c>
      <c r="E131" s="2" t="s">
        <v>98</v>
      </c>
      <c r="F131" s="2" t="s">
        <v>585</v>
      </c>
      <c r="G131" s="2" t="s">
        <v>1082</v>
      </c>
      <c r="H131" s="2" t="s">
        <v>41</v>
      </c>
      <c r="I131" s="2" t="s">
        <v>582</v>
      </c>
      <c r="J131" s="2" t="str">
        <f>IFERROR(INDEX('Functional Acceptance'!$L:$L,MATCH($I131,'Functional Acceptance'!$B:$B,0)),"")</f>
        <v>Not Built</v>
      </c>
      <c r="K131" s="7">
        <f>IFERROR(INDEX('Functional Acceptance'!$M:$M,MATCH($I131,'Functional Acceptance'!$B:$B,0)),"")</f>
        <v>0</v>
      </c>
      <c r="L131" s="2">
        <f>IFERROR(INDEX('Functional Acceptance'!$N:$N,MATCH($I131,'Functional Acceptance'!$B:$B,0)),"")</f>
        <v>0</v>
      </c>
      <c r="M131" s="2">
        <f>IFERROR(INDEX('Functional Acceptance'!$O:$O,MATCH($I131,'Functional Acceptance'!$B:$B,0)),"")</f>
        <v>0</v>
      </c>
      <c r="N131" s="2" t="s">
        <v>1075</v>
      </c>
      <c r="O131" s="2"/>
    </row>
    <row r="132" spans="1:15" ht="15" customHeight="1" x14ac:dyDescent="0.25">
      <c r="A132" s="2" t="s">
        <v>587</v>
      </c>
      <c r="B132" s="2" t="s">
        <v>54</v>
      </c>
      <c r="C132" s="2" t="s">
        <v>588</v>
      </c>
      <c r="D132" s="2" t="s">
        <v>109</v>
      </c>
      <c r="E132" s="2" t="s">
        <v>98</v>
      </c>
      <c r="F132" s="2" t="s">
        <v>590</v>
      </c>
      <c r="G132" s="2" t="s">
        <v>1082</v>
      </c>
      <c r="H132" s="2" t="s">
        <v>41</v>
      </c>
      <c r="I132" s="2" t="s">
        <v>586</v>
      </c>
      <c r="J132" s="2" t="str">
        <f>IFERROR(INDEX('Functional Acceptance'!$L:$L,MATCH($I132,'Functional Acceptance'!$B:$B,0)),"")</f>
        <v>Not Built</v>
      </c>
      <c r="K132" s="7">
        <f>IFERROR(INDEX('Functional Acceptance'!$M:$M,MATCH($I132,'Functional Acceptance'!$B:$B,0)),"")</f>
        <v>0</v>
      </c>
      <c r="L132" s="2">
        <f>IFERROR(INDEX('Functional Acceptance'!$N:$N,MATCH($I132,'Functional Acceptance'!$B:$B,0)),"")</f>
        <v>0</v>
      </c>
      <c r="M132" s="2">
        <f>IFERROR(INDEX('Functional Acceptance'!$O:$O,MATCH($I132,'Functional Acceptance'!$B:$B,0)),"")</f>
        <v>0</v>
      </c>
      <c r="N132" s="2" t="s">
        <v>1075</v>
      </c>
      <c r="O132" s="2"/>
    </row>
    <row r="133" spans="1:15" ht="15" customHeight="1" x14ac:dyDescent="0.25">
      <c r="A133" s="2" t="s">
        <v>592</v>
      </c>
      <c r="B133" s="2" t="s">
        <v>54</v>
      </c>
      <c r="C133" s="2" t="s">
        <v>588</v>
      </c>
      <c r="D133" s="2" t="s">
        <v>109</v>
      </c>
      <c r="E133" s="2" t="s">
        <v>98</v>
      </c>
      <c r="F133" s="2" t="s">
        <v>594</v>
      </c>
      <c r="G133" s="2" t="s">
        <v>1082</v>
      </c>
      <c r="H133" s="2" t="s">
        <v>41</v>
      </c>
      <c r="I133" s="2" t="s">
        <v>591</v>
      </c>
      <c r="J133" s="2" t="str">
        <f>IFERROR(INDEX('Functional Acceptance'!$L:$L,MATCH($I133,'Functional Acceptance'!$B:$B,0)),"")</f>
        <v>Not Built</v>
      </c>
      <c r="K133" s="7">
        <f>IFERROR(INDEX('Functional Acceptance'!$M:$M,MATCH($I133,'Functional Acceptance'!$B:$B,0)),"")</f>
        <v>0</v>
      </c>
      <c r="L133" s="2">
        <f>IFERROR(INDEX('Functional Acceptance'!$N:$N,MATCH($I133,'Functional Acceptance'!$B:$B,0)),"")</f>
        <v>0</v>
      </c>
      <c r="M133" s="2">
        <f>IFERROR(INDEX('Functional Acceptance'!$O:$O,MATCH($I133,'Functional Acceptance'!$B:$B,0)),"")</f>
        <v>0</v>
      </c>
      <c r="N133" s="2" t="s">
        <v>1075</v>
      </c>
      <c r="O133" s="2"/>
    </row>
    <row r="134" spans="1:15" ht="15" customHeight="1" x14ac:dyDescent="0.25">
      <c r="A134" s="2" t="s">
        <v>596</v>
      </c>
      <c r="B134" s="2" t="s">
        <v>54</v>
      </c>
      <c r="C134" s="2" t="s">
        <v>588</v>
      </c>
      <c r="D134" s="2" t="s">
        <v>109</v>
      </c>
      <c r="E134" s="2" t="s">
        <v>98</v>
      </c>
      <c r="F134" s="2" t="s">
        <v>598</v>
      </c>
      <c r="G134" s="2" t="s">
        <v>1082</v>
      </c>
      <c r="H134" s="2" t="s">
        <v>41</v>
      </c>
      <c r="I134" s="2" t="s">
        <v>595</v>
      </c>
      <c r="J134" s="2" t="str">
        <f>IFERROR(INDEX('Functional Acceptance'!$L:$L,MATCH($I134,'Functional Acceptance'!$B:$B,0)),"")</f>
        <v>Not Built</v>
      </c>
      <c r="K134" s="7">
        <f>IFERROR(INDEX('Functional Acceptance'!$M:$M,MATCH($I134,'Functional Acceptance'!$B:$B,0)),"")</f>
        <v>0</v>
      </c>
      <c r="L134" s="2">
        <f>IFERROR(INDEX('Functional Acceptance'!$N:$N,MATCH($I134,'Functional Acceptance'!$B:$B,0)),"")</f>
        <v>0</v>
      </c>
      <c r="M134" s="2">
        <f>IFERROR(INDEX('Functional Acceptance'!$O:$O,MATCH($I134,'Functional Acceptance'!$B:$B,0)),"")</f>
        <v>0</v>
      </c>
      <c r="N134" s="2" t="s">
        <v>1075</v>
      </c>
      <c r="O134" s="2"/>
    </row>
    <row r="135" spans="1:15" ht="15" customHeight="1" x14ac:dyDescent="0.25">
      <c r="A135" s="2" t="s">
        <v>600</v>
      </c>
      <c r="B135" s="2" t="s">
        <v>54</v>
      </c>
      <c r="C135" s="2" t="s">
        <v>588</v>
      </c>
      <c r="D135" s="2" t="s">
        <v>109</v>
      </c>
      <c r="E135" s="2" t="s">
        <v>98</v>
      </c>
      <c r="F135" s="2" t="s">
        <v>602</v>
      </c>
      <c r="G135" s="2" t="s">
        <v>1082</v>
      </c>
      <c r="H135" s="2" t="s">
        <v>41</v>
      </c>
      <c r="I135" s="2" t="s">
        <v>599</v>
      </c>
      <c r="J135" s="2" t="str">
        <f>IFERROR(INDEX('Functional Acceptance'!$L:$L,MATCH($I135,'Functional Acceptance'!$B:$B,0)),"")</f>
        <v>Not Built</v>
      </c>
      <c r="K135" s="7">
        <f>IFERROR(INDEX('Functional Acceptance'!$M:$M,MATCH($I135,'Functional Acceptance'!$B:$B,0)),"")</f>
        <v>0</v>
      </c>
      <c r="L135" s="2">
        <f>IFERROR(INDEX('Functional Acceptance'!$N:$N,MATCH($I135,'Functional Acceptance'!$B:$B,0)),"")</f>
        <v>0</v>
      </c>
      <c r="M135" s="2">
        <f>IFERROR(INDEX('Functional Acceptance'!$O:$O,MATCH($I135,'Functional Acceptance'!$B:$B,0)),"")</f>
        <v>0</v>
      </c>
      <c r="N135" s="2" t="s">
        <v>1075</v>
      </c>
      <c r="O135" s="2"/>
    </row>
    <row r="136" spans="1:15" ht="15" customHeight="1" x14ac:dyDescent="0.25">
      <c r="A136" s="2" t="s">
        <v>604</v>
      </c>
      <c r="B136" s="2" t="s">
        <v>54</v>
      </c>
      <c r="C136" s="2" t="s">
        <v>588</v>
      </c>
      <c r="D136" s="2" t="s">
        <v>109</v>
      </c>
      <c r="E136" s="2" t="s">
        <v>98</v>
      </c>
      <c r="F136" s="2" t="s">
        <v>606</v>
      </c>
      <c r="G136" s="2" t="s">
        <v>1082</v>
      </c>
      <c r="H136" s="2" t="s">
        <v>41</v>
      </c>
      <c r="I136" s="2" t="s">
        <v>603</v>
      </c>
      <c r="J136" s="2" t="str">
        <f>IFERROR(INDEX('Functional Acceptance'!$L:$L,MATCH($I136,'Functional Acceptance'!$B:$B,0)),"")</f>
        <v>Not Built</v>
      </c>
      <c r="K136" s="7">
        <f>IFERROR(INDEX('Functional Acceptance'!$M:$M,MATCH($I136,'Functional Acceptance'!$B:$B,0)),"")</f>
        <v>0</v>
      </c>
      <c r="L136" s="2">
        <f>IFERROR(INDEX('Functional Acceptance'!$N:$N,MATCH($I136,'Functional Acceptance'!$B:$B,0)),"")</f>
        <v>0</v>
      </c>
      <c r="M136" s="2">
        <f>IFERROR(INDEX('Functional Acceptance'!$O:$O,MATCH($I136,'Functional Acceptance'!$B:$B,0)),"")</f>
        <v>0</v>
      </c>
      <c r="N136" s="2" t="s">
        <v>1075</v>
      </c>
      <c r="O136" s="2"/>
    </row>
    <row r="137" spans="1:15" ht="15" customHeight="1" x14ac:dyDescent="0.25">
      <c r="A137" s="2" t="s">
        <v>608</v>
      </c>
      <c r="B137" s="2" t="s">
        <v>54</v>
      </c>
      <c r="C137" s="2" t="s">
        <v>588</v>
      </c>
      <c r="D137" s="2" t="s">
        <v>109</v>
      </c>
      <c r="E137" s="2" t="s">
        <v>98</v>
      </c>
      <c r="F137" s="2" t="s">
        <v>610</v>
      </c>
      <c r="G137" s="2" t="s">
        <v>1082</v>
      </c>
      <c r="H137" s="2" t="s">
        <v>41</v>
      </c>
      <c r="I137" s="2" t="s">
        <v>607</v>
      </c>
      <c r="J137" s="2" t="str">
        <f>IFERROR(INDEX('Functional Acceptance'!$L:$L,MATCH($I137,'Functional Acceptance'!$B:$B,0)),"")</f>
        <v>Not Built</v>
      </c>
      <c r="K137" s="7">
        <f>IFERROR(INDEX('Functional Acceptance'!$M:$M,MATCH($I137,'Functional Acceptance'!$B:$B,0)),"")</f>
        <v>0</v>
      </c>
      <c r="L137" s="2">
        <f>IFERROR(INDEX('Functional Acceptance'!$N:$N,MATCH($I137,'Functional Acceptance'!$B:$B,0)),"")</f>
        <v>0</v>
      </c>
      <c r="M137" s="2">
        <f>IFERROR(INDEX('Functional Acceptance'!$O:$O,MATCH($I137,'Functional Acceptance'!$B:$B,0)),"")</f>
        <v>0</v>
      </c>
      <c r="N137" s="2" t="s">
        <v>1075</v>
      </c>
      <c r="O137" s="2"/>
    </row>
    <row r="138" spans="1:15" ht="15" customHeight="1" x14ac:dyDescent="0.25">
      <c r="A138" s="2" t="s">
        <v>612</v>
      </c>
      <c r="B138" s="2" t="s">
        <v>54</v>
      </c>
      <c r="C138" s="2" t="s">
        <v>588</v>
      </c>
      <c r="D138" s="2" t="s">
        <v>109</v>
      </c>
      <c r="E138" s="2" t="s">
        <v>98</v>
      </c>
      <c r="F138" s="2" t="s">
        <v>614</v>
      </c>
      <c r="G138" s="2" t="s">
        <v>1082</v>
      </c>
      <c r="H138" s="2" t="s">
        <v>41</v>
      </c>
      <c r="I138" s="2" t="s">
        <v>611</v>
      </c>
      <c r="J138" s="2" t="str">
        <f>IFERROR(INDEX('Functional Acceptance'!$L:$L,MATCH($I138,'Functional Acceptance'!$B:$B,0)),"")</f>
        <v>Not Built</v>
      </c>
      <c r="K138" s="7">
        <f>IFERROR(INDEX('Functional Acceptance'!$M:$M,MATCH($I138,'Functional Acceptance'!$B:$B,0)),"")</f>
        <v>0</v>
      </c>
      <c r="L138" s="2">
        <f>IFERROR(INDEX('Functional Acceptance'!$N:$N,MATCH($I138,'Functional Acceptance'!$B:$B,0)),"")</f>
        <v>0</v>
      </c>
      <c r="M138" s="2">
        <f>IFERROR(INDEX('Functional Acceptance'!$O:$O,MATCH($I138,'Functional Acceptance'!$B:$B,0)),"")</f>
        <v>0</v>
      </c>
      <c r="N138" s="2" t="s">
        <v>1075</v>
      </c>
      <c r="O138" s="2"/>
    </row>
    <row r="139" spans="1:15" ht="30" customHeight="1" x14ac:dyDescent="0.25">
      <c r="A139" s="2" t="s">
        <v>616</v>
      </c>
      <c r="B139" s="2" t="s">
        <v>54</v>
      </c>
      <c r="C139" s="2" t="s">
        <v>588</v>
      </c>
      <c r="D139" s="2" t="s">
        <v>109</v>
      </c>
      <c r="E139" s="2" t="s">
        <v>98</v>
      </c>
      <c r="F139" s="2" t="s">
        <v>618</v>
      </c>
      <c r="G139" s="2" t="s">
        <v>1082</v>
      </c>
      <c r="H139" s="2" t="s">
        <v>41</v>
      </c>
      <c r="I139" s="2" t="s">
        <v>615</v>
      </c>
      <c r="J139" s="2" t="str">
        <f>IFERROR(INDEX('Functional Acceptance'!$L:$L,MATCH($I139,'Functional Acceptance'!$B:$B,0)),"")</f>
        <v>Not Built</v>
      </c>
      <c r="K139" s="7">
        <f>IFERROR(INDEX('Functional Acceptance'!$M:$M,MATCH($I139,'Functional Acceptance'!$B:$B,0)),"")</f>
        <v>0</v>
      </c>
      <c r="L139" s="2">
        <f>IFERROR(INDEX('Functional Acceptance'!$N:$N,MATCH($I139,'Functional Acceptance'!$B:$B,0)),"")</f>
        <v>0</v>
      </c>
      <c r="M139" s="2">
        <f>IFERROR(INDEX('Functional Acceptance'!$O:$O,MATCH($I139,'Functional Acceptance'!$B:$B,0)),"")</f>
        <v>0</v>
      </c>
      <c r="N139" s="2" t="s">
        <v>1075</v>
      </c>
      <c r="O139" s="2"/>
    </row>
    <row r="140" spans="1:15" ht="45" customHeight="1" x14ac:dyDescent="0.25">
      <c r="A140" s="2" t="s">
        <v>620</v>
      </c>
      <c r="B140" s="2" t="s">
        <v>54</v>
      </c>
      <c r="C140" s="2" t="s">
        <v>588</v>
      </c>
      <c r="D140" s="2" t="s">
        <v>302</v>
      </c>
      <c r="E140" s="2" t="s">
        <v>98</v>
      </c>
      <c r="F140" s="2" t="s">
        <v>622</v>
      </c>
      <c r="G140" s="2" t="s">
        <v>1082</v>
      </c>
      <c r="H140" s="2" t="s">
        <v>41</v>
      </c>
      <c r="I140" s="2" t="s">
        <v>619</v>
      </c>
      <c r="J140" s="2" t="str">
        <f>IFERROR(INDEX('Functional Acceptance'!$L:$L,MATCH($I140,'Functional Acceptance'!$B:$B,0)),"")</f>
        <v>Not Built</v>
      </c>
      <c r="K140" s="7">
        <f>IFERROR(INDEX('Functional Acceptance'!$M:$M,MATCH($I140,'Functional Acceptance'!$B:$B,0)),"")</f>
        <v>0</v>
      </c>
      <c r="L140" s="2">
        <f>IFERROR(INDEX('Functional Acceptance'!$N:$N,MATCH($I140,'Functional Acceptance'!$B:$B,0)),"")</f>
        <v>0</v>
      </c>
      <c r="M140" s="2">
        <f>IFERROR(INDEX('Functional Acceptance'!$O:$O,MATCH($I140,'Functional Acceptance'!$B:$B,0)),"")</f>
        <v>0</v>
      </c>
      <c r="N140" s="2" t="s">
        <v>1075</v>
      </c>
      <c r="O140" s="2"/>
    </row>
    <row r="141" spans="1:15" ht="30" customHeight="1" x14ac:dyDescent="0.25">
      <c r="A141" s="2" t="s">
        <v>624</v>
      </c>
      <c r="B141" s="2" t="s">
        <v>54</v>
      </c>
      <c r="C141" s="2" t="s">
        <v>588</v>
      </c>
      <c r="D141" s="2" t="s">
        <v>109</v>
      </c>
      <c r="E141" s="2" t="s">
        <v>98</v>
      </c>
      <c r="F141" s="2" t="s">
        <v>626</v>
      </c>
      <c r="G141" s="2" t="s">
        <v>1082</v>
      </c>
      <c r="H141" s="2" t="s">
        <v>41</v>
      </c>
      <c r="I141" s="2" t="s">
        <v>623</v>
      </c>
      <c r="J141" s="2" t="str">
        <f>IFERROR(INDEX('Functional Acceptance'!$L:$L,MATCH($I141,'Functional Acceptance'!$B:$B,0)),"")</f>
        <v>Not Built</v>
      </c>
      <c r="K141" s="7">
        <f>IFERROR(INDEX('Functional Acceptance'!$M:$M,MATCH($I141,'Functional Acceptance'!$B:$B,0)),"")</f>
        <v>0</v>
      </c>
      <c r="L141" s="2">
        <f>IFERROR(INDEX('Functional Acceptance'!$N:$N,MATCH($I141,'Functional Acceptance'!$B:$B,0)),"")</f>
        <v>0</v>
      </c>
      <c r="M141" s="2">
        <f>IFERROR(INDEX('Functional Acceptance'!$O:$O,MATCH($I141,'Functional Acceptance'!$B:$B,0)),"")</f>
        <v>0</v>
      </c>
      <c r="N141" s="2" t="s">
        <v>1075</v>
      </c>
      <c r="O141" s="2"/>
    </row>
    <row r="142" spans="1:15" ht="15" customHeight="1" x14ac:dyDescent="0.25">
      <c r="A142" s="2" t="s">
        <v>628</v>
      </c>
      <c r="B142" s="2" t="s">
        <v>54</v>
      </c>
      <c r="C142" s="2" t="s">
        <v>588</v>
      </c>
      <c r="D142" s="2" t="s">
        <v>109</v>
      </c>
      <c r="E142" s="2" t="s">
        <v>98</v>
      </c>
      <c r="F142" s="2" t="s">
        <v>630</v>
      </c>
      <c r="G142" s="2" t="s">
        <v>1082</v>
      </c>
      <c r="H142" s="2" t="s">
        <v>41</v>
      </c>
      <c r="I142" s="2" t="s">
        <v>627</v>
      </c>
      <c r="J142" s="2" t="str">
        <f>IFERROR(INDEX('Functional Acceptance'!$L:$L,MATCH($I142,'Functional Acceptance'!$B:$B,0)),"")</f>
        <v>Not Built</v>
      </c>
      <c r="K142" s="7">
        <f>IFERROR(INDEX('Functional Acceptance'!$M:$M,MATCH($I142,'Functional Acceptance'!$B:$B,0)),"")</f>
        <v>0</v>
      </c>
      <c r="L142" s="2">
        <f>IFERROR(INDEX('Functional Acceptance'!$N:$N,MATCH($I142,'Functional Acceptance'!$B:$B,0)),"")</f>
        <v>0</v>
      </c>
      <c r="M142" s="2">
        <f>IFERROR(INDEX('Functional Acceptance'!$O:$O,MATCH($I142,'Functional Acceptance'!$B:$B,0)),"")</f>
        <v>0</v>
      </c>
      <c r="N142" s="2" t="s">
        <v>1075</v>
      </c>
      <c r="O142" s="2"/>
    </row>
    <row r="143" spans="1:15" ht="30" customHeight="1" x14ac:dyDescent="0.25">
      <c r="A143" s="2" t="s">
        <v>632</v>
      </c>
      <c r="B143" s="2" t="s">
        <v>54</v>
      </c>
      <c r="C143" s="2" t="s">
        <v>588</v>
      </c>
      <c r="D143" s="2" t="s">
        <v>234</v>
      </c>
      <c r="E143" s="2" t="s">
        <v>98</v>
      </c>
      <c r="F143" s="2" t="s">
        <v>634</v>
      </c>
      <c r="G143" s="2" t="s">
        <v>1082</v>
      </c>
      <c r="H143" s="2" t="s">
        <v>41</v>
      </c>
      <c r="I143" s="2" t="s">
        <v>631</v>
      </c>
      <c r="J143" s="2" t="str">
        <f>IFERROR(INDEX('Functional Acceptance'!$L:$L,MATCH($I143,'Functional Acceptance'!$B:$B,0)),"")</f>
        <v>Not Built</v>
      </c>
      <c r="K143" s="7">
        <f>IFERROR(INDEX('Functional Acceptance'!$M:$M,MATCH($I143,'Functional Acceptance'!$B:$B,0)),"")</f>
        <v>0</v>
      </c>
      <c r="L143" s="2">
        <f>IFERROR(INDEX('Functional Acceptance'!$N:$N,MATCH($I143,'Functional Acceptance'!$B:$B,0)),"")</f>
        <v>0</v>
      </c>
      <c r="M143" s="2">
        <f>IFERROR(INDEX('Functional Acceptance'!$O:$O,MATCH($I143,'Functional Acceptance'!$B:$B,0)),"")</f>
        <v>0</v>
      </c>
      <c r="N143" s="2" t="s">
        <v>1075</v>
      </c>
      <c r="O143" s="2"/>
    </row>
    <row r="144" spans="1:15" ht="45" customHeight="1" x14ac:dyDescent="0.25">
      <c r="A144" s="2" t="s">
        <v>636</v>
      </c>
      <c r="B144" s="2" t="s">
        <v>54</v>
      </c>
      <c r="C144" s="2" t="s">
        <v>588</v>
      </c>
      <c r="D144" s="2" t="s">
        <v>109</v>
      </c>
      <c r="E144" s="2" t="s">
        <v>98</v>
      </c>
      <c r="F144" s="2" t="s">
        <v>639</v>
      </c>
      <c r="G144" s="2" t="s">
        <v>1082</v>
      </c>
      <c r="H144" s="2" t="s">
        <v>41</v>
      </c>
      <c r="I144" s="2" t="s">
        <v>635</v>
      </c>
      <c r="J144" s="2" t="str">
        <f>IFERROR(INDEX('Functional Acceptance'!$L:$L,MATCH($I144,'Functional Acceptance'!$B:$B,0)),"")</f>
        <v>Not Built</v>
      </c>
      <c r="K144" s="7">
        <f>IFERROR(INDEX('Functional Acceptance'!$M:$M,MATCH($I144,'Functional Acceptance'!$B:$B,0)),"")</f>
        <v>0</v>
      </c>
      <c r="L144" s="2">
        <f>IFERROR(INDEX('Functional Acceptance'!$N:$N,MATCH($I144,'Functional Acceptance'!$B:$B,0)),"")</f>
        <v>0</v>
      </c>
      <c r="M144" s="2">
        <f>IFERROR(INDEX('Functional Acceptance'!$O:$O,MATCH($I144,'Functional Acceptance'!$B:$B,0)),"")</f>
        <v>0</v>
      </c>
      <c r="N144" s="2" t="s">
        <v>1075</v>
      </c>
      <c r="O144" s="2"/>
    </row>
    <row r="145" spans="1:15" ht="45" customHeight="1" x14ac:dyDescent="0.25">
      <c r="A145" s="2" t="s">
        <v>641</v>
      </c>
      <c r="B145" s="2" t="s">
        <v>54</v>
      </c>
      <c r="C145" s="2" t="s">
        <v>642</v>
      </c>
      <c r="D145" s="2" t="s">
        <v>97</v>
      </c>
      <c r="E145" s="2" t="s">
        <v>98</v>
      </c>
      <c r="F145" s="2" t="s">
        <v>644</v>
      </c>
      <c r="G145" s="2" t="s">
        <v>1082</v>
      </c>
      <c r="H145" s="2" t="s">
        <v>41</v>
      </c>
      <c r="I145" s="2" t="s">
        <v>640</v>
      </c>
      <c r="J145" s="2" t="str">
        <f>IFERROR(INDEX('Functional Acceptance'!$L:$L,MATCH($I145,'Functional Acceptance'!$B:$B,0)),"")</f>
        <v>Not Built</v>
      </c>
      <c r="K145" s="7">
        <f>IFERROR(INDEX('Functional Acceptance'!$M:$M,MATCH($I145,'Functional Acceptance'!$B:$B,0)),"")</f>
        <v>0</v>
      </c>
      <c r="L145" s="2">
        <f>IFERROR(INDEX('Functional Acceptance'!$N:$N,MATCH($I145,'Functional Acceptance'!$B:$B,0)),"")</f>
        <v>0</v>
      </c>
      <c r="M145" s="2">
        <f>IFERROR(INDEX('Functional Acceptance'!$O:$O,MATCH($I145,'Functional Acceptance'!$B:$B,0)),"")</f>
        <v>0</v>
      </c>
      <c r="N145" s="2" t="s">
        <v>1075</v>
      </c>
      <c r="O145" s="2"/>
    </row>
    <row r="146" spans="1:15" ht="30" customHeight="1" x14ac:dyDescent="0.25">
      <c r="A146" s="2" t="s">
        <v>646</v>
      </c>
      <c r="B146" s="2" t="s">
        <v>54</v>
      </c>
      <c r="C146" s="2" t="s">
        <v>642</v>
      </c>
      <c r="D146" s="2" t="s">
        <v>97</v>
      </c>
      <c r="E146" s="2" t="s">
        <v>98</v>
      </c>
      <c r="F146" s="2" t="s">
        <v>648</v>
      </c>
      <c r="G146" s="2" t="s">
        <v>1082</v>
      </c>
      <c r="H146" s="2" t="s">
        <v>41</v>
      </c>
      <c r="I146" s="2" t="s">
        <v>645</v>
      </c>
      <c r="J146" s="2" t="str">
        <f>IFERROR(INDEX('Functional Acceptance'!$L:$L,MATCH($I146,'Functional Acceptance'!$B:$B,0)),"")</f>
        <v>Not Built</v>
      </c>
      <c r="K146" s="7">
        <f>IFERROR(INDEX('Functional Acceptance'!$M:$M,MATCH($I146,'Functional Acceptance'!$B:$B,0)),"")</f>
        <v>0</v>
      </c>
      <c r="L146" s="2">
        <f>IFERROR(INDEX('Functional Acceptance'!$N:$N,MATCH($I146,'Functional Acceptance'!$B:$B,0)),"")</f>
        <v>0</v>
      </c>
      <c r="M146" s="2">
        <f>IFERROR(INDEX('Functional Acceptance'!$O:$O,MATCH($I146,'Functional Acceptance'!$B:$B,0)),"")</f>
        <v>0</v>
      </c>
      <c r="N146" s="2" t="s">
        <v>1075</v>
      </c>
      <c r="O146" s="2"/>
    </row>
    <row r="147" spans="1:15" ht="15" customHeight="1" x14ac:dyDescent="0.25">
      <c r="A147" s="2" t="s">
        <v>650</v>
      </c>
      <c r="B147" s="2" t="s">
        <v>54</v>
      </c>
      <c r="C147" s="2" t="s">
        <v>642</v>
      </c>
      <c r="D147" s="2" t="s">
        <v>109</v>
      </c>
      <c r="E147" s="2" t="s">
        <v>98</v>
      </c>
      <c r="F147" s="2" t="s">
        <v>652</v>
      </c>
      <c r="G147" s="2" t="s">
        <v>1082</v>
      </c>
      <c r="H147" s="2" t="s">
        <v>41</v>
      </c>
      <c r="I147" s="2" t="s">
        <v>649</v>
      </c>
      <c r="J147" s="2" t="str">
        <f>IFERROR(INDEX('Functional Acceptance'!$L:$L,MATCH($I147,'Functional Acceptance'!$B:$B,0)),"")</f>
        <v>Not Built</v>
      </c>
      <c r="K147" s="7">
        <f>IFERROR(INDEX('Functional Acceptance'!$M:$M,MATCH($I147,'Functional Acceptance'!$B:$B,0)),"")</f>
        <v>0</v>
      </c>
      <c r="L147" s="2">
        <f>IFERROR(INDEX('Functional Acceptance'!$N:$N,MATCH($I147,'Functional Acceptance'!$B:$B,0)),"")</f>
        <v>0</v>
      </c>
      <c r="M147" s="2">
        <f>IFERROR(INDEX('Functional Acceptance'!$O:$O,MATCH($I147,'Functional Acceptance'!$B:$B,0)),"")</f>
        <v>0</v>
      </c>
      <c r="N147" s="2" t="s">
        <v>1075</v>
      </c>
      <c r="O147" s="2"/>
    </row>
    <row r="148" spans="1:15" ht="15" customHeight="1" x14ac:dyDescent="0.25">
      <c r="A148" s="2" t="s">
        <v>654</v>
      </c>
      <c r="B148" s="2" t="s">
        <v>54</v>
      </c>
      <c r="C148" s="2" t="s">
        <v>642</v>
      </c>
      <c r="D148" s="2" t="s">
        <v>109</v>
      </c>
      <c r="E148" s="2" t="s">
        <v>98</v>
      </c>
      <c r="F148" s="2" t="s">
        <v>656</v>
      </c>
      <c r="G148" s="2" t="s">
        <v>1082</v>
      </c>
      <c r="H148" s="2" t="s">
        <v>41</v>
      </c>
      <c r="I148" s="2" t="s">
        <v>653</v>
      </c>
      <c r="J148" s="2" t="str">
        <f>IFERROR(INDEX('Functional Acceptance'!$L:$L,MATCH($I148,'Functional Acceptance'!$B:$B,0)),"")</f>
        <v>Not Built</v>
      </c>
      <c r="K148" s="7">
        <f>IFERROR(INDEX('Functional Acceptance'!$M:$M,MATCH($I148,'Functional Acceptance'!$B:$B,0)),"")</f>
        <v>0</v>
      </c>
      <c r="L148" s="2">
        <f>IFERROR(INDEX('Functional Acceptance'!$N:$N,MATCH($I148,'Functional Acceptance'!$B:$B,0)),"")</f>
        <v>0</v>
      </c>
      <c r="M148" s="2">
        <f>IFERROR(INDEX('Functional Acceptance'!$O:$O,MATCH($I148,'Functional Acceptance'!$B:$B,0)),"")</f>
        <v>0</v>
      </c>
      <c r="N148" s="2" t="s">
        <v>1075</v>
      </c>
      <c r="O148" s="2"/>
    </row>
    <row r="149" spans="1:15" ht="30" customHeight="1" x14ac:dyDescent="0.25">
      <c r="A149" s="2" t="s">
        <v>658</v>
      </c>
      <c r="B149" s="2" t="s">
        <v>54</v>
      </c>
      <c r="C149" s="2" t="s">
        <v>642</v>
      </c>
      <c r="D149" s="2" t="s">
        <v>109</v>
      </c>
      <c r="E149" s="2" t="s">
        <v>98</v>
      </c>
      <c r="F149" s="2" t="s">
        <v>660</v>
      </c>
      <c r="G149" s="2" t="s">
        <v>1082</v>
      </c>
      <c r="H149" s="2" t="s">
        <v>41</v>
      </c>
      <c r="I149" s="2" t="s">
        <v>657</v>
      </c>
      <c r="J149" s="2" t="str">
        <f>IFERROR(INDEX('Functional Acceptance'!$L:$L,MATCH($I149,'Functional Acceptance'!$B:$B,0)),"")</f>
        <v>Not Built</v>
      </c>
      <c r="K149" s="7">
        <f>IFERROR(INDEX('Functional Acceptance'!$M:$M,MATCH($I149,'Functional Acceptance'!$B:$B,0)),"")</f>
        <v>0</v>
      </c>
      <c r="L149" s="2">
        <f>IFERROR(INDEX('Functional Acceptance'!$N:$N,MATCH($I149,'Functional Acceptance'!$B:$B,0)),"")</f>
        <v>0</v>
      </c>
      <c r="M149" s="2">
        <f>IFERROR(INDEX('Functional Acceptance'!$O:$O,MATCH($I149,'Functional Acceptance'!$B:$B,0)),"")</f>
        <v>0</v>
      </c>
      <c r="N149" s="2" t="s">
        <v>1075</v>
      </c>
      <c r="O149" s="2"/>
    </row>
    <row r="150" spans="1:15" ht="15" customHeight="1" x14ac:dyDescent="0.25">
      <c r="A150" s="2" t="s">
        <v>662</v>
      </c>
      <c r="B150" s="2" t="s">
        <v>54</v>
      </c>
      <c r="C150" s="2" t="s">
        <v>642</v>
      </c>
      <c r="D150" s="2" t="s">
        <v>109</v>
      </c>
      <c r="E150" s="2" t="s">
        <v>98</v>
      </c>
      <c r="F150" s="2" t="s">
        <v>664</v>
      </c>
      <c r="G150" s="2" t="s">
        <v>1082</v>
      </c>
      <c r="H150" s="2" t="s">
        <v>41</v>
      </c>
      <c r="I150" s="2" t="s">
        <v>661</v>
      </c>
      <c r="J150" s="2" t="str">
        <f>IFERROR(INDEX('Functional Acceptance'!$L:$L,MATCH($I150,'Functional Acceptance'!$B:$B,0)),"")</f>
        <v>Not Built</v>
      </c>
      <c r="K150" s="7">
        <f>IFERROR(INDEX('Functional Acceptance'!$M:$M,MATCH($I150,'Functional Acceptance'!$B:$B,0)),"")</f>
        <v>0</v>
      </c>
      <c r="L150" s="2">
        <f>IFERROR(INDEX('Functional Acceptance'!$N:$N,MATCH($I150,'Functional Acceptance'!$B:$B,0)),"")</f>
        <v>0</v>
      </c>
      <c r="M150" s="2">
        <f>IFERROR(INDEX('Functional Acceptance'!$O:$O,MATCH($I150,'Functional Acceptance'!$B:$B,0)),"")</f>
        <v>0</v>
      </c>
      <c r="N150" s="2" t="s">
        <v>1075</v>
      </c>
      <c r="O150" s="2"/>
    </row>
    <row r="151" spans="1:15" ht="30" customHeight="1" x14ac:dyDescent="0.25">
      <c r="A151" s="2" t="s">
        <v>666</v>
      </c>
      <c r="B151" s="2" t="s">
        <v>54</v>
      </c>
      <c r="C151" s="2" t="s">
        <v>642</v>
      </c>
      <c r="D151" s="2" t="s">
        <v>109</v>
      </c>
      <c r="E151" s="2" t="s">
        <v>98</v>
      </c>
      <c r="F151" s="2" t="s">
        <v>668</v>
      </c>
      <c r="G151" s="2" t="s">
        <v>1082</v>
      </c>
      <c r="H151" s="2" t="s">
        <v>41</v>
      </c>
      <c r="I151" s="2" t="s">
        <v>665</v>
      </c>
      <c r="J151" s="2" t="str">
        <f>IFERROR(INDEX('Functional Acceptance'!$L:$L,MATCH($I151,'Functional Acceptance'!$B:$B,0)),"")</f>
        <v>Not Built</v>
      </c>
      <c r="K151" s="7">
        <f>IFERROR(INDEX('Functional Acceptance'!$M:$M,MATCH($I151,'Functional Acceptance'!$B:$B,0)),"")</f>
        <v>0</v>
      </c>
      <c r="L151" s="2">
        <f>IFERROR(INDEX('Functional Acceptance'!$N:$N,MATCH($I151,'Functional Acceptance'!$B:$B,0)),"")</f>
        <v>0</v>
      </c>
      <c r="M151" s="2">
        <f>IFERROR(INDEX('Functional Acceptance'!$O:$O,MATCH($I151,'Functional Acceptance'!$B:$B,0)),"")</f>
        <v>0</v>
      </c>
      <c r="N151" s="2" t="s">
        <v>1075</v>
      </c>
      <c r="O151" s="2"/>
    </row>
    <row r="152" spans="1:15" ht="30" customHeight="1" x14ac:dyDescent="0.25">
      <c r="A152" s="2" t="s">
        <v>670</v>
      </c>
      <c r="B152" s="2" t="s">
        <v>54</v>
      </c>
      <c r="C152" s="2" t="s">
        <v>642</v>
      </c>
      <c r="D152" s="2" t="s">
        <v>109</v>
      </c>
      <c r="E152" s="2" t="s">
        <v>98</v>
      </c>
      <c r="F152" s="2" t="s">
        <v>672</v>
      </c>
      <c r="G152" s="2" t="s">
        <v>1082</v>
      </c>
      <c r="H152" s="2" t="s">
        <v>41</v>
      </c>
      <c r="I152" s="2" t="s">
        <v>669</v>
      </c>
      <c r="J152" s="2" t="str">
        <f>IFERROR(INDEX('Functional Acceptance'!$L:$L,MATCH($I152,'Functional Acceptance'!$B:$B,0)),"")</f>
        <v>Not Built</v>
      </c>
      <c r="K152" s="7">
        <f>IFERROR(INDEX('Functional Acceptance'!$M:$M,MATCH($I152,'Functional Acceptance'!$B:$B,0)),"")</f>
        <v>0</v>
      </c>
      <c r="L152" s="2">
        <f>IFERROR(INDEX('Functional Acceptance'!$N:$N,MATCH($I152,'Functional Acceptance'!$B:$B,0)),"")</f>
        <v>0</v>
      </c>
      <c r="M152" s="2">
        <f>IFERROR(INDEX('Functional Acceptance'!$O:$O,MATCH($I152,'Functional Acceptance'!$B:$B,0)),"")</f>
        <v>0</v>
      </c>
      <c r="N152" s="2" t="s">
        <v>1075</v>
      </c>
      <c r="O152" s="2"/>
    </row>
    <row r="153" spans="1:15" ht="30" customHeight="1" x14ac:dyDescent="0.25">
      <c r="A153" s="2" t="s">
        <v>674</v>
      </c>
      <c r="B153" s="2" t="s">
        <v>54</v>
      </c>
      <c r="C153" s="2" t="s">
        <v>642</v>
      </c>
      <c r="D153" s="2" t="s">
        <v>109</v>
      </c>
      <c r="E153" s="2" t="s">
        <v>98</v>
      </c>
      <c r="F153" s="2" t="s">
        <v>676</v>
      </c>
      <c r="G153" s="2" t="s">
        <v>1082</v>
      </c>
      <c r="H153" s="2" t="s">
        <v>41</v>
      </c>
      <c r="I153" s="2" t="s">
        <v>673</v>
      </c>
      <c r="J153" s="2" t="str">
        <f>IFERROR(INDEX('Functional Acceptance'!$L:$L,MATCH($I153,'Functional Acceptance'!$B:$B,0)),"")</f>
        <v>Not Built</v>
      </c>
      <c r="K153" s="7">
        <f>IFERROR(INDEX('Functional Acceptance'!$M:$M,MATCH($I153,'Functional Acceptance'!$B:$B,0)),"")</f>
        <v>0</v>
      </c>
      <c r="L153" s="2">
        <f>IFERROR(INDEX('Functional Acceptance'!$N:$N,MATCH($I153,'Functional Acceptance'!$B:$B,0)),"")</f>
        <v>0</v>
      </c>
      <c r="M153" s="2">
        <f>IFERROR(INDEX('Functional Acceptance'!$O:$O,MATCH($I153,'Functional Acceptance'!$B:$B,0)),"")</f>
        <v>0</v>
      </c>
      <c r="N153" s="2" t="s">
        <v>1075</v>
      </c>
      <c r="O153" s="2"/>
    </row>
    <row r="154" spans="1:15" ht="15" customHeight="1" x14ac:dyDescent="0.25">
      <c r="A154" s="2" t="s">
        <v>678</v>
      </c>
      <c r="B154" s="2" t="s">
        <v>54</v>
      </c>
      <c r="C154" s="2" t="s">
        <v>642</v>
      </c>
      <c r="D154" s="2" t="s">
        <v>109</v>
      </c>
      <c r="E154" s="2" t="s">
        <v>98</v>
      </c>
      <c r="F154" s="2" t="s">
        <v>680</v>
      </c>
      <c r="G154" s="2" t="s">
        <v>1082</v>
      </c>
      <c r="H154" s="2" t="s">
        <v>41</v>
      </c>
      <c r="I154" s="2" t="s">
        <v>677</v>
      </c>
      <c r="J154" s="2" t="str">
        <f>IFERROR(INDEX('Functional Acceptance'!$L:$L,MATCH($I154,'Functional Acceptance'!$B:$B,0)),"")</f>
        <v>Not Built</v>
      </c>
      <c r="K154" s="7">
        <f>IFERROR(INDEX('Functional Acceptance'!$M:$M,MATCH($I154,'Functional Acceptance'!$B:$B,0)),"")</f>
        <v>0</v>
      </c>
      <c r="L154" s="2">
        <f>IFERROR(INDEX('Functional Acceptance'!$N:$N,MATCH($I154,'Functional Acceptance'!$B:$B,0)),"")</f>
        <v>0</v>
      </c>
      <c r="M154" s="2">
        <f>IFERROR(INDEX('Functional Acceptance'!$O:$O,MATCH($I154,'Functional Acceptance'!$B:$B,0)),"")</f>
        <v>0</v>
      </c>
      <c r="N154" s="2" t="s">
        <v>1075</v>
      </c>
      <c r="O154" s="2"/>
    </row>
    <row r="155" spans="1:15" ht="15" customHeight="1" x14ac:dyDescent="0.25">
      <c r="A155" s="2" t="s">
        <v>682</v>
      </c>
      <c r="B155" s="2" t="s">
        <v>54</v>
      </c>
      <c r="C155" s="2" t="s">
        <v>642</v>
      </c>
      <c r="D155" s="2" t="s">
        <v>109</v>
      </c>
      <c r="E155" s="2" t="s">
        <v>98</v>
      </c>
      <c r="F155" s="2" t="s">
        <v>684</v>
      </c>
      <c r="G155" s="2" t="s">
        <v>1082</v>
      </c>
      <c r="H155" s="2" t="s">
        <v>41</v>
      </c>
      <c r="I155" s="2" t="s">
        <v>681</v>
      </c>
      <c r="J155" s="2" t="str">
        <f>IFERROR(INDEX('Functional Acceptance'!$L:$L,MATCH($I155,'Functional Acceptance'!$B:$B,0)),"")</f>
        <v>Not Built</v>
      </c>
      <c r="K155" s="7">
        <f>IFERROR(INDEX('Functional Acceptance'!$M:$M,MATCH($I155,'Functional Acceptance'!$B:$B,0)),"")</f>
        <v>0</v>
      </c>
      <c r="L155" s="2">
        <f>IFERROR(INDEX('Functional Acceptance'!$N:$N,MATCH($I155,'Functional Acceptance'!$B:$B,0)),"")</f>
        <v>0</v>
      </c>
      <c r="M155" s="2">
        <f>IFERROR(INDEX('Functional Acceptance'!$O:$O,MATCH($I155,'Functional Acceptance'!$B:$B,0)),"")</f>
        <v>0</v>
      </c>
      <c r="N155" s="2" t="s">
        <v>1075</v>
      </c>
      <c r="O155" s="2"/>
    </row>
    <row r="156" spans="1:15" ht="45" customHeight="1" x14ac:dyDescent="0.25">
      <c r="A156" s="2" t="s">
        <v>686</v>
      </c>
      <c r="B156" s="2" t="s">
        <v>54</v>
      </c>
      <c r="C156" s="2" t="s">
        <v>642</v>
      </c>
      <c r="D156" s="2" t="s">
        <v>302</v>
      </c>
      <c r="E156" s="2" t="s">
        <v>98</v>
      </c>
      <c r="F156" s="2" t="s">
        <v>688</v>
      </c>
      <c r="G156" s="2" t="s">
        <v>1082</v>
      </c>
      <c r="H156" s="2" t="s">
        <v>41</v>
      </c>
      <c r="I156" s="2" t="s">
        <v>685</v>
      </c>
      <c r="J156" s="2" t="str">
        <f>IFERROR(INDEX('Functional Acceptance'!$L:$L,MATCH($I156,'Functional Acceptance'!$B:$B,0)),"")</f>
        <v>Not Built</v>
      </c>
      <c r="K156" s="7">
        <f>IFERROR(INDEX('Functional Acceptance'!$M:$M,MATCH($I156,'Functional Acceptance'!$B:$B,0)),"")</f>
        <v>0</v>
      </c>
      <c r="L156" s="2">
        <f>IFERROR(INDEX('Functional Acceptance'!$N:$N,MATCH($I156,'Functional Acceptance'!$B:$B,0)),"")</f>
        <v>0</v>
      </c>
      <c r="M156" s="2">
        <f>IFERROR(INDEX('Functional Acceptance'!$O:$O,MATCH($I156,'Functional Acceptance'!$B:$B,0)),"")</f>
        <v>0</v>
      </c>
      <c r="N156" s="2" t="s">
        <v>1075</v>
      </c>
      <c r="O156" s="2"/>
    </row>
    <row r="157" spans="1:15" ht="30" customHeight="1" x14ac:dyDescent="0.25">
      <c r="A157" s="2" t="s">
        <v>690</v>
      </c>
      <c r="B157" s="2" t="s">
        <v>54</v>
      </c>
      <c r="C157" s="2" t="s">
        <v>642</v>
      </c>
      <c r="D157" s="2" t="s">
        <v>109</v>
      </c>
      <c r="E157" s="2" t="s">
        <v>98</v>
      </c>
      <c r="F157" s="2" t="s">
        <v>692</v>
      </c>
      <c r="G157" s="2" t="s">
        <v>1082</v>
      </c>
      <c r="H157" s="2" t="s">
        <v>41</v>
      </c>
      <c r="I157" s="2" t="s">
        <v>689</v>
      </c>
      <c r="J157" s="2" t="str">
        <f>IFERROR(INDEX('Functional Acceptance'!$L:$L,MATCH($I157,'Functional Acceptance'!$B:$B,0)),"")</f>
        <v>Not Built</v>
      </c>
      <c r="K157" s="7">
        <f>IFERROR(INDEX('Functional Acceptance'!$M:$M,MATCH($I157,'Functional Acceptance'!$B:$B,0)),"")</f>
        <v>0</v>
      </c>
      <c r="L157" s="2">
        <f>IFERROR(INDEX('Functional Acceptance'!$N:$N,MATCH($I157,'Functional Acceptance'!$B:$B,0)),"")</f>
        <v>0</v>
      </c>
      <c r="M157" s="2">
        <f>IFERROR(INDEX('Functional Acceptance'!$O:$O,MATCH($I157,'Functional Acceptance'!$B:$B,0)),"")</f>
        <v>0</v>
      </c>
      <c r="N157" s="2" t="s">
        <v>1075</v>
      </c>
      <c r="O157" s="2"/>
    </row>
    <row r="158" spans="1:15" ht="30" customHeight="1" x14ac:dyDescent="0.25">
      <c r="A158" s="2" t="s">
        <v>694</v>
      </c>
      <c r="B158" s="2" t="s">
        <v>54</v>
      </c>
      <c r="C158" s="2" t="s">
        <v>642</v>
      </c>
      <c r="D158" s="2" t="s">
        <v>97</v>
      </c>
      <c r="E158" s="2" t="s">
        <v>98</v>
      </c>
      <c r="F158" s="2" t="s">
        <v>696</v>
      </c>
      <c r="G158" s="2" t="s">
        <v>1082</v>
      </c>
      <c r="H158" s="2" t="s">
        <v>41</v>
      </c>
      <c r="I158" s="2" t="s">
        <v>693</v>
      </c>
      <c r="J158" s="2" t="str">
        <f>IFERROR(INDEX('Functional Acceptance'!$L:$L,MATCH($I158,'Functional Acceptance'!$B:$B,0)),"")</f>
        <v>Not Built</v>
      </c>
      <c r="K158" s="7">
        <f>IFERROR(INDEX('Functional Acceptance'!$M:$M,MATCH($I158,'Functional Acceptance'!$B:$B,0)),"")</f>
        <v>0</v>
      </c>
      <c r="L158" s="2">
        <f>IFERROR(INDEX('Functional Acceptance'!$N:$N,MATCH($I158,'Functional Acceptance'!$B:$B,0)),"")</f>
        <v>0</v>
      </c>
      <c r="M158" s="2">
        <f>IFERROR(INDEX('Functional Acceptance'!$O:$O,MATCH($I158,'Functional Acceptance'!$B:$B,0)),"")</f>
        <v>0</v>
      </c>
      <c r="N158" s="2" t="s">
        <v>1075</v>
      </c>
      <c r="O158" s="2"/>
    </row>
    <row r="159" spans="1:15" ht="45" customHeight="1" x14ac:dyDescent="0.25">
      <c r="A159" s="2" t="s">
        <v>698</v>
      </c>
      <c r="B159" s="2" t="s">
        <v>54</v>
      </c>
      <c r="C159" s="2" t="s">
        <v>642</v>
      </c>
      <c r="D159" s="2" t="s">
        <v>109</v>
      </c>
      <c r="E159" s="2" t="s">
        <v>98</v>
      </c>
      <c r="F159" s="2" t="s">
        <v>700</v>
      </c>
      <c r="G159" s="2" t="s">
        <v>1082</v>
      </c>
      <c r="H159" s="2" t="s">
        <v>41</v>
      </c>
      <c r="I159" s="2" t="s">
        <v>697</v>
      </c>
      <c r="J159" s="2" t="str">
        <f>IFERROR(INDEX('Functional Acceptance'!$L:$L,MATCH($I159,'Functional Acceptance'!$B:$B,0)),"")</f>
        <v>Not Built</v>
      </c>
      <c r="K159" s="7">
        <f>IFERROR(INDEX('Functional Acceptance'!$M:$M,MATCH($I159,'Functional Acceptance'!$B:$B,0)),"")</f>
        <v>0</v>
      </c>
      <c r="L159" s="2">
        <f>IFERROR(INDEX('Functional Acceptance'!$N:$N,MATCH($I159,'Functional Acceptance'!$B:$B,0)),"")</f>
        <v>0</v>
      </c>
      <c r="M159" s="2">
        <f>IFERROR(INDEX('Functional Acceptance'!$O:$O,MATCH($I159,'Functional Acceptance'!$B:$B,0)),"")</f>
        <v>0</v>
      </c>
      <c r="N159" s="2" t="s">
        <v>1075</v>
      </c>
      <c r="O159" s="2"/>
    </row>
    <row r="160" spans="1:15" ht="30" customHeight="1" x14ac:dyDescent="0.25">
      <c r="A160" s="2" t="s">
        <v>702</v>
      </c>
      <c r="B160" s="2" t="s">
        <v>54</v>
      </c>
      <c r="C160" s="2" t="s">
        <v>642</v>
      </c>
      <c r="D160" s="2" t="s">
        <v>109</v>
      </c>
      <c r="E160" s="2" t="s">
        <v>98</v>
      </c>
      <c r="F160" s="2" t="s">
        <v>705</v>
      </c>
      <c r="G160" s="2" t="s">
        <v>1082</v>
      </c>
      <c r="H160" s="2" t="s">
        <v>41</v>
      </c>
      <c r="I160" s="2" t="s">
        <v>701</v>
      </c>
      <c r="J160" s="2" t="str">
        <f>IFERROR(INDEX('Functional Acceptance'!$L:$L,MATCH($I160,'Functional Acceptance'!$B:$B,0)),"")</f>
        <v>Not Built</v>
      </c>
      <c r="K160" s="7">
        <f>IFERROR(INDEX('Functional Acceptance'!$M:$M,MATCH($I160,'Functional Acceptance'!$B:$B,0)),"")</f>
        <v>0</v>
      </c>
      <c r="L160" s="2">
        <f>IFERROR(INDEX('Functional Acceptance'!$N:$N,MATCH($I160,'Functional Acceptance'!$B:$B,0)),"")</f>
        <v>0</v>
      </c>
      <c r="M160" s="2">
        <f>IFERROR(INDEX('Functional Acceptance'!$O:$O,MATCH($I160,'Functional Acceptance'!$B:$B,0)),"")</f>
        <v>0</v>
      </c>
      <c r="N160" s="2" t="s">
        <v>1075</v>
      </c>
      <c r="O160" s="2"/>
    </row>
    <row r="161" spans="1:15" ht="30" customHeight="1" x14ac:dyDescent="0.25">
      <c r="A161" s="2" t="s">
        <v>707</v>
      </c>
      <c r="B161" s="2" t="s">
        <v>54</v>
      </c>
      <c r="C161" s="2" t="s">
        <v>642</v>
      </c>
      <c r="D161" s="2" t="s">
        <v>97</v>
      </c>
      <c r="E161" s="2" t="s">
        <v>98</v>
      </c>
      <c r="F161" s="2" t="s">
        <v>709</v>
      </c>
      <c r="G161" s="2" t="s">
        <v>1082</v>
      </c>
      <c r="H161" s="2" t="s">
        <v>41</v>
      </c>
      <c r="I161" s="2" t="s">
        <v>706</v>
      </c>
      <c r="J161" s="2" t="str">
        <f>IFERROR(INDEX('Functional Acceptance'!$L:$L,MATCH($I161,'Functional Acceptance'!$B:$B,0)),"")</f>
        <v>Not Built</v>
      </c>
      <c r="K161" s="7">
        <f>IFERROR(INDEX('Functional Acceptance'!$M:$M,MATCH($I161,'Functional Acceptance'!$B:$B,0)),"")</f>
        <v>0</v>
      </c>
      <c r="L161" s="2">
        <f>IFERROR(INDEX('Functional Acceptance'!$N:$N,MATCH($I161,'Functional Acceptance'!$B:$B,0)),"")</f>
        <v>0</v>
      </c>
      <c r="M161" s="2">
        <f>IFERROR(INDEX('Functional Acceptance'!$O:$O,MATCH($I161,'Functional Acceptance'!$B:$B,0)),"")</f>
        <v>0</v>
      </c>
      <c r="N161" s="2" t="s">
        <v>1075</v>
      </c>
      <c r="O161" s="2"/>
    </row>
    <row r="162" spans="1:15" ht="30" customHeight="1" x14ac:dyDescent="0.25">
      <c r="A162" s="2" t="s">
        <v>711</v>
      </c>
      <c r="B162" s="2" t="s">
        <v>54</v>
      </c>
      <c r="C162" s="2" t="s">
        <v>642</v>
      </c>
      <c r="D162" s="2" t="s">
        <v>373</v>
      </c>
      <c r="E162" s="2" t="s">
        <v>98</v>
      </c>
      <c r="F162" s="2" t="s">
        <v>713</v>
      </c>
      <c r="G162" s="2" t="s">
        <v>1082</v>
      </c>
      <c r="H162" s="2" t="s">
        <v>41</v>
      </c>
      <c r="I162" s="2" t="s">
        <v>710</v>
      </c>
      <c r="J162" s="2" t="str">
        <f>IFERROR(INDEX('Functional Acceptance'!$L:$L,MATCH($I162,'Functional Acceptance'!$B:$B,0)),"")</f>
        <v>Not Built</v>
      </c>
      <c r="K162" s="7">
        <f>IFERROR(INDEX('Functional Acceptance'!$M:$M,MATCH($I162,'Functional Acceptance'!$B:$B,0)),"")</f>
        <v>0</v>
      </c>
      <c r="L162" s="2">
        <f>IFERROR(INDEX('Functional Acceptance'!$N:$N,MATCH($I162,'Functional Acceptance'!$B:$B,0)),"")</f>
        <v>0</v>
      </c>
      <c r="M162" s="2">
        <f>IFERROR(INDEX('Functional Acceptance'!$O:$O,MATCH($I162,'Functional Acceptance'!$B:$B,0)),"")</f>
        <v>0</v>
      </c>
      <c r="N162" s="2" t="s">
        <v>1075</v>
      </c>
      <c r="O162" s="2"/>
    </row>
    <row r="163" spans="1:15" ht="30" customHeight="1" x14ac:dyDescent="0.25">
      <c r="A163" s="2" t="s">
        <v>715</v>
      </c>
      <c r="B163" s="2" t="s">
        <v>54</v>
      </c>
      <c r="C163" s="2" t="s">
        <v>716</v>
      </c>
      <c r="D163" s="2" t="s">
        <v>109</v>
      </c>
      <c r="E163" s="2" t="s">
        <v>98</v>
      </c>
      <c r="F163" s="2" t="s">
        <v>718</v>
      </c>
      <c r="G163" s="2" t="s">
        <v>1082</v>
      </c>
      <c r="H163" s="2" t="s">
        <v>41</v>
      </c>
      <c r="I163" s="2" t="s">
        <v>714</v>
      </c>
      <c r="J163" s="2" t="str">
        <f>IFERROR(INDEX('Functional Acceptance'!$L:$L,MATCH($I163,'Functional Acceptance'!$B:$B,0)),"")</f>
        <v>Not Built</v>
      </c>
      <c r="K163" s="7">
        <f>IFERROR(INDEX('Functional Acceptance'!$M:$M,MATCH($I163,'Functional Acceptance'!$B:$B,0)),"")</f>
        <v>0</v>
      </c>
      <c r="L163" s="2">
        <f>IFERROR(INDEX('Functional Acceptance'!$N:$N,MATCH($I163,'Functional Acceptance'!$B:$B,0)),"")</f>
        <v>0</v>
      </c>
      <c r="M163" s="2">
        <f>IFERROR(INDEX('Functional Acceptance'!$O:$O,MATCH($I163,'Functional Acceptance'!$B:$B,0)),"")</f>
        <v>0</v>
      </c>
      <c r="N163" s="2" t="s">
        <v>1075</v>
      </c>
      <c r="O163" s="2"/>
    </row>
    <row r="164" spans="1:15" ht="30" customHeight="1" x14ac:dyDescent="0.25">
      <c r="A164" s="2" t="s">
        <v>720</v>
      </c>
      <c r="B164" s="2" t="s">
        <v>54</v>
      </c>
      <c r="C164" s="2" t="s">
        <v>716</v>
      </c>
      <c r="D164" s="2" t="s">
        <v>109</v>
      </c>
      <c r="E164" s="2" t="s">
        <v>98</v>
      </c>
      <c r="F164" s="2" t="s">
        <v>722</v>
      </c>
      <c r="G164" s="2" t="s">
        <v>1082</v>
      </c>
      <c r="H164" s="2" t="s">
        <v>41</v>
      </c>
      <c r="I164" s="2" t="s">
        <v>719</v>
      </c>
      <c r="J164" s="2" t="str">
        <f>IFERROR(INDEX('Functional Acceptance'!$L:$L,MATCH($I164,'Functional Acceptance'!$B:$B,0)),"")</f>
        <v>Not Built</v>
      </c>
      <c r="K164" s="7">
        <f>IFERROR(INDEX('Functional Acceptance'!$M:$M,MATCH($I164,'Functional Acceptance'!$B:$B,0)),"")</f>
        <v>0</v>
      </c>
      <c r="L164" s="2">
        <f>IFERROR(INDEX('Functional Acceptance'!$N:$N,MATCH($I164,'Functional Acceptance'!$B:$B,0)),"")</f>
        <v>0</v>
      </c>
      <c r="M164" s="2">
        <f>IFERROR(INDEX('Functional Acceptance'!$O:$O,MATCH($I164,'Functional Acceptance'!$B:$B,0)),"")</f>
        <v>0</v>
      </c>
      <c r="N164" s="2" t="s">
        <v>1075</v>
      </c>
      <c r="O164" s="2"/>
    </row>
    <row r="165" spans="1:15" ht="30" customHeight="1" x14ac:dyDescent="0.25">
      <c r="A165" s="2" t="s">
        <v>724</v>
      </c>
      <c r="B165" s="2" t="s">
        <v>54</v>
      </c>
      <c r="C165" s="2" t="s">
        <v>716</v>
      </c>
      <c r="D165" s="2" t="s">
        <v>109</v>
      </c>
      <c r="E165" s="2" t="s">
        <v>98</v>
      </c>
      <c r="F165" s="2" t="s">
        <v>726</v>
      </c>
      <c r="G165" s="2" t="s">
        <v>1082</v>
      </c>
      <c r="H165" s="2" t="s">
        <v>41</v>
      </c>
      <c r="I165" s="2" t="s">
        <v>723</v>
      </c>
      <c r="J165" s="2" t="str">
        <f>IFERROR(INDEX('Functional Acceptance'!$L:$L,MATCH($I165,'Functional Acceptance'!$B:$B,0)),"")</f>
        <v>Not Built</v>
      </c>
      <c r="K165" s="7">
        <f>IFERROR(INDEX('Functional Acceptance'!$M:$M,MATCH($I165,'Functional Acceptance'!$B:$B,0)),"")</f>
        <v>0</v>
      </c>
      <c r="L165" s="2">
        <f>IFERROR(INDEX('Functional Acceptance'!$N:$N,MATCH($I165,'Functional Acceptance'!$B:$B,0)),"")</f>
        <v>0</v>
      </c>
      <c r="M165" s="2">
        <f>IFERROR(INDEX('Functional Acceptance'!$O:$O,MATCH($I165,'Functional Acceptance'!$B:$B,0)),"")</f>
        <v>0</v>
      </c>
      <c r="N165" s="2" t="s">
        <v>1075</v>
      </c>
      <c r="O165" s="2"/>
    </row>
    <row r="166" spans="1:15" ht="30" customHeight="1" x14ac:dyDescent="0.25">
      <c r="A166" s="2" t="s">
        <v>728</v>
      </c>
      <c r="B166" s="2" t="s">
        <v>54</v>
      </c>
      <c r="C166" s="2" t="s">
        <v>716</v>
      </c>
      <c r="D166" s="2" t="s">
        <v>109</v>
      </c>
      <c r="E166" s="2" t="s">
        <v>98</v>
      </c>
      <c r="F166" s="2" t="s">
        <v>730</v>
      </c>
      <c r="G166" s="2" t="s">
        <v>1082</v>
      </c>
      <c r="H166" s="2" t="s">
        <v>41</v>
      </c>
      <c r="I166" s="2" t="s">
        <v>727</v>
      </c>
      <c r="J166" s="2" t="str">
        <f>IFERROR(INDEX('Functional Acceptance'!$L:$L,MATCH($I166,'Functional Acceptance'!$B:$B,0)),"")</f>
        <v>Not Built</v>
      </c>
      <c r="K166" s="7">
        <f>IFERROR(INDEX('Functional Acceptance'!$M:$M,MATCH($I166,'Functional Acceptance'!$B:$B,0)),"")</f>
        <v>0</v>
      </c>
      <c r="L166" s="2">
        <f>IFERROR(INDEX('Functional Acceptance'!$N:$N,MATCH($I166,'Functional Acceptance'!$B:$B,0)),"")</f>
        <v>0</v>
      </c>
      <c r="M166" s="2">
        <f>IFERROR(INDEX('Functional Acceptance'!$O:$O,MATCH($I166,'Functional Acceptance'!$B:$B,0)),"")</f>
        <v>0</v>
      </c>
      <c r="N166" s="2" t="s">
        <v>1075</v>
      </c>
      <c r="O166" s="2"/>
    </row>
    <row r="167" spans="1:15" ht="30" customHeight="1" x14ac:dyDescent="0.25">
      <c r="A167" s="2" t="s">
        <v>732</v>
      </c>
      <c r="B167" s="2" t="s">
        <v>54</v>
      </c>
      <c r="C167" s="2" t="s">
        <v>716</v>
      </c>
      <c r="D167" s="2" t="s">
        <v>109</v>
      </c>
      <c r="E167" s="2" t="s">
        <v>98</v>
      </c>
      <c r="F167" s="2" t="s">
        <v>734</v>
      </c>
      <c r="G167" s="2" t="s">
        <v>1082</v>
      </c>
      <c r="H167" s="2" t="s">
        <v>41</v>
      </c>
      <c r="I167" s="2" t="s">
        <v>731</v>
      </c>
      <c r="J167" s="2" t="str">
        <f>IFERROR(INDEX('Functional Acceptance'!$L:$L,MATCH($I167,'Functional Acceptance'!$B:$B,0)),"")</f>
        <v>Not Built</v>
      </c>
      <c r="K167" s="7">
        <f>IFERROR(INDEX('Functional Acceptance'!$M:$M,MATCH($I167,'Functional Acceptance'!$B:$B,0)),"")</f>
        <v>0</v>
      </c>
      <c r="L167" s="2">
        <f>IFERROR(INDEX('Functional Acceptance'!$N:$N,MATCH($I167,'Functional Acceptance'!$B:$B,0)),"")</f>
        <v>0</v>
      </c>
      <c r="M167" s="2">
        <f>IFERROR(INDEX('Functional Acceptance'!$O:$O,MATCH($I167,'Functional Acceptance'!$B:$B,0)),"")</f>
        <v>0</v>
      </c>
      <c r="N167" s="2" t="s">
        <v>1075</v>
      </c>
      <c r="O167" s="2"/>
    </row>
    <row r="168" spans="1:15" ht="30" customHeight="1" x14ac:dyDescent="0.25">
      <c r="A168" s="2" t="s">
        <v>736</v>
      </c>
      <c r="B168" s="2" t="s">
        <v>54</v>
      </c>
      <c r="C168" s="2" t="s">
        <v>716</v>
      </c>
      <c r="D168" s="2" t="s">
        <v>109</v>
      </c>
      <c r="E168" s="2" t="s">
        <v>98</v>
      </c>
      <c r="F168" s="2" t="s">
        <v>739</v>
      </c>
      <c r="G168" s="2" t="s">
        <v>1082</v>
      </c>
      <c r="H168" s="2" t="s">
        <v>41</v>
      </c>
      <c r="I168" s="2" t="s">
        <v>735</v>
      </c>
      <c r="J168" s="2" t="str">
        <f>IFERROR(INDEX('Functional Acceptance'!$L:$L,MATCH($I168,'Functional Acceptance'!$B:$B,0)),"")</f>
        <v>Not Built</v>
      </c>
      <c r="K168" s="7">
        <f>IFERROR(INDEX('Functional Acceptance'!$M:$M,MATCH($I168,'Functional Acceptance'!$B:$B,0)),"")</f>
        <v>0</v>
      </c>
      <c r="L168" s="2">
        <f>IFERROR(INDEX('Functional Acceptance'!$N:$N,MATCH($I168,'Functional Acceptance'!$B:$B,0)),"")</f>
        <v>0</v>
      </c>
      <c r="M168" s="2">
        <f>IFERROR(INDEX('Functional Acceptance'!$O:$O,MATCH($I168,'Functional Acceptance'!$B:$B,0)),"")</f>
        <v>0</v>
      </c>
      <c r="N168" s="2" t="s">
        <v>1075</v>
      </c>
      <c r="O168" s="2"/>
    </row>
    <row r="169" spans="1:15" ht="30" customHeight="1" x14ac:dyDescent="0.25">
      <c r="A169" s="2" t="s">
        <v>741</v>
      </c>
      <c r="B169" s="2" t="s">
        <v>54</v>
      </c>
      <c r="C169" s="2" t="s">
        <v>716</v>
      </c>
      <c r="D169" s="2" t="s">
        <v>109</v>
      </c>
      <c r="E169" s="2" t="s">
        <v>98</v>
      </c>
      <c r="F169" s="2" t="s">
        <v>743</v>
      </c>
      <c r="G169" s="2" t="s">
        <v>1082</v>
      </c>
      <c r="H169" s="2" t="s">
        <v>41</v>
      </c>
      <c r="I169" s="2" t="s">
        <v>740</v>
      </c>
      <c r="J169" s="2" t="str">
        <f>IFERROR(INDEX('Functional Acceptance'!$L:$L,MATCH($I169,'Functional Acceptance'!$B:$B,0)),"")</f>
        <v>Not Built</v>
      </c>
      <c r="K169" s="7">
        <f>IFERROR(INDEX('Functional Acceptance'!$M:$M,MATCH($I169,'Functional Acceptance'!$B:$B,0)),"")</f>
        <v>0</v>
      </c>
      <c r="L169" s="2">
        <f>IFERROR(INDEX('Functional Acceptance'!$N:$N,MATCH($I169,'Functional Acceptance'!$B:$B,0)),"")</f>
        <v>0</v>
      </c>
      <c r="M169" s="2">
        <f>IFERROR(INDEX('Functional Acceptance'!$O:$O,MATCH($I169,'Functional Acceptance'!$B:$B,0)),"")</f>
        <v>0</v>
      </c>
      <c r="N169" s="2" t="s">
        <v>1075</v>
      </c>
      <c r="O169" s="2"/>
    </row>
    <row r="170" spans="1:15" ht="30" customHeight="1" x14ac:dyDescent="0.25">
      <c r="A170" s="2" t="s">
        <v>745</v>
      </c>
      <c r="B170" s="2" t="s">
        <v>54</v>
      </c>
      <c r="C170" s="2" t="s">
        <v>716</v>
      </c>
      <c r="D170" s="2" t="s">
        <v>109</v>
      </c>
      <c r="E170" s="2" t="s">
        <v>98</v>
      </c>
      <c r="F170" s="2" t="s">
        <v>748</v>
      </c>
      <c r="G170" s="2" t="s">
        <v>1082</v>
      </c>
      <c r="H170" s="2" t="s">
        <v>41</v>
      </c>
      <c r="I170" s="2" t="s">
        <v>744</v>
      </c>
      <c r="J170" s="2" t="str">
        <f>IFERROR(INDEX('Functional Acceptance'!$L:$L,MATCH($I170,'Functional Acceptance'!$B:$B,0)),"")</f>
        <v>Not Built</v>
      </c>
      <c r="K170" s="7">
        <f>IFERROR(INDEX('Functional Acceptance'!$M:$M,MATCH($I170,'Functional Acceptance'!$B:$B,0)),"")</f>
        <v>0</v>
      </c>
      <c r="L170" s="2">
        <f>IFERROR(INDEX('Functional Acceptance'!$N:$N,MATCH($I170,'Functional Acceptance'!$B:$B,0)),"")</f>
        <v>0</v>
      </c>
      <c r="M170" s="2">
        <f>IFERROR(INDEX('Functional Acceptance'!$O:$O,MATCH($I170,'Functional Acceptance'!$B:$B,0)),"")</f>
        <v>0</v>
      </c>
      <c r="N170" s="2" t="s">
        <v>1075</v>
      </c>
      <c r="O170" s="2"/>
    </row>
    <row r="171" spans="1:15" ht="30" customHeight="1" x14ac:dyDescent="0.25">
      <c r="A171" s="2" t="s">
        <v>750</v>
      </c>
      <c r="B171" s="2" t="s">
        <v>54</v>
      </c>
      <c r="C171" s="2" t="s">
        <v>716</v>
      </c>
      <c r="D171" s="2" t="s">
        <v>109</v>
      </c>
      <c r="E171" s="2" t="s">
        <v>98</v>
      </c>
      <c r="F171" s="2" t="s">
        <v>752</v>
      </c>
      <c r="G171" s="2" t="s">
        <v>1082</v>
      </c>
      <c r="H171" s="2" t="s">
        <v>41</v>
      </c>
      <c r="I171" s="2" t="s">
        <v>749</v>
      </c>
      <c r="J171" s="2" t="str">
        <f>IFERROR(INDEX('Functional Acceptance'!$L:$L,MATCH($I171,'Functional Acceptance'!$B:$B,0)),"")</f>
        <v>Not Built</v>
      </c>
      <c r="K171" s="7">
        <f>IFERROR(INDEX('Functional Acceptance'!$M:$M,MATCH($I171,'Functional Acceptance'!$B:$B,0)),"")</f>
        <v>0</v>
      </c>
      <c r="L171" s="2">
        <f>IFERROR(INDEX('Functional Acceptance'!$N:$N,MATCH($I171,'Functional Acceptance'!$B:$B,0)),"")</f>
        <v>0</v>
      </c>
      <c r="M171" s="2">
        <f>IFERROR(INDEX('Functional Acceptance'!$O:$O,MATCH($I171,'Functional Acceptance'!$B:$B,0)),"")</f>
        <v>0</v>
      </c>
      <c r="N171" s="2" t="s">
        <v>1075</v>
      </c>
      <c r="O171" s="2"/>
    </row>
    <row r="172" spans="1:15" ht="30" customHeight="1" x14ac:dyDescent="0.25">
      <c r="A172" s="2" t="s">
        <v>754</v>
      </c>
      <c r="B172" s="2" t="s">
        <v>54</v>
      </c>
      <c r="C172" s="2" t="s">
        <v>716</v>
      </c>
      <c r="D172" s="2" t="s">
        <v>109</v>
      </c>
      <c r="E172" s="2" t="s">
        <v>98</v>
      </c>
      <c r="F172" s="2" t="s">
        <v>756</v>
      </c>
      <c r="G172" s="2" t="s">
        <v>1082</v>
      </c>
      <c r="H172" s="2" t="s">
        <v>41</v>
      </c>
      <c r="I172" s="2" t="s">
        <v>753</v>
      </c>
      <c r="J172" s="2" t="str">
        <f>IFERROR(INDEX('Functional Acceptance'!$L:$L,MATCH($I172,'Functional Acceptance'!$B:$B,0)),"")</f>
        <v>Not Built</v>
      </c>
      <c r="K172" s="7">
        <f>IFERROR(INDEX('Functional Acceptance'!$M:$M,MATCH($I172,'Functional Acceptance'!$B:$B,0)),"")</f>
        <v>0</v>
      </c>
      <c r="L172" s="2">
        <f>IFERROR(INDEX('Functional Acceptance'!$N:$N,MATCH($I172,'Functional Acceptance'!$B:$B,0)),"")</f>
        <v>0</v>
      </c>
      <c r="M172" s="2">
        <f>IFERROR(INDEX('Functional Acceptance'!$O:$O,MATCH($I172,'Functional Acceptance'!$B:$B,0)),"")</f>
        <v>0</v>
      </c>
      <c r="N172" s="2" t="s">
        <v>1075</v>
      </c>
      <c r="O172" s="2"/>
    </row>
    <row r="173" spans="1:15" ht="30" customHeight="1" x14ac:dyDescent="0.25">
      <c r="A173" s="2" t="s">
        <v>758</v>
      </c>
      <c r="B173" s="2" t="s">
        <v>54</v>
      </c>
      <c r="C173" s="2" t="s">
        <v>716</v>
      </c>
      <c r="D173" s="2" t="s">
        <v>109</v>
      </c>
      <c r="E173" s="2" t="s">
        <v>98</v>
      </c>
      <c r="F173" s="2" t="s">
        <v>760</v>
      </c>
      <c r="G173" s="2" t="s">
        <v>1082</v>
      </c>
      <c r="H173" s="2" t="s">
        <v>41</v>
      </c>
      <c r="I173" s="2" t="s">
        <v>757</v>
      </c>
      <c r="J173" s="2" t="str">
        <f>IFERROR(INDEX('Functional Acceptance'!$L:$L,MATCH($I173,'Functional Acceptance'!$B:$B,0)),"")</f>
        <v>Not Built</v>
      </c>
      <c r="K173" s="7">
        <f>IFERROR(INDEX('Functional Acceptance'!$M:$M,MATCH($I173,'Functional Acceptance'!$B:$B,0)),"")</f>
        <v>0</v>
      </c>
      <c r="L173" s="2">
        <f>IFERROR(INDEX('Functional Acceptance'!$N:$N,MATCH($I173,'Functional Acceptance'!$B:$B,0)),"")</f>
        <v>0</v>
      </c>
      <c r="M173" s="2">
        <f>IFERROR(INDEX('Functional Acceptance'!$O:$O,MATCH($I173,'Functional Acceptance'!$B:$B,0)),"")</f>
        <v>0</v>
      </c>
      <c r="N173" s="2" t="s">
        <v>1075</v>
      </c>
      <c r="O173" s="2"/>
    </row>
    <row r="174" spans="1:15" ht="45" customHeight="1" x14ac:dyDescent="0.25">
      <c r="A174" s="2" t="s">
        <v>762</v>
      </c>
      <c r="B174" s="2" t="s">
        <v>54</v>
      </c>
      <c r="C174" s="2" t="s">
        <v>716</v>
      </c>
      <c r="D174" s="2" t="s">
        <v>109</v>
      </c>
      <c r="E174" s="2" t="s">
        <v>98</v>
      </c>
      <c r="F174" s="2" t="s">
        <v>764</v>
      </c>
      <c r="G174" s="2" t="s">
        <v>1082</v>
      </c>
      <c r="H174" s="2" t="s">
        <v>41</v>
      </c>
      <c r="I174" s="2" t="s">
        <v>761</v>
      </c>
      <c r="J174" s="2" t="str">
        <f>IFERROR(INDEX('Functional Acceptance'!$L:$L,MATCH($I174,'Functional Acceptance'!$B:$B,0)),"")</f>
        <v>Not Built</v>
      </c>
      <c r="K174" s="7">
        <f>IFERROR(INDEX('Functional Acceptance'!$M:$M,MATCH($I174,'Functional Acceptance'!$B:$B,0)),"")</f>
        <v>0</v>
      </c>
      <c r="L174" s="2">
        <f>IFERROR(INDEX('Functional Acceptance'!$N:$N,MATCH($I174,'Functional Acceptance'!$B:$B,0)),"")</f>
        <v>0</v>
      </c>
      <c r="M174" s="2">
        <f>IFERROR(INDEX('Functional Acceptance'!$O:$O,MATCH($I174,'Functional Acceptance'!$B:$B,0)),"")</f>
        <v>0</v>
      </c>
      <c r="N174" s="2" t="s">
        <v>1075</v>
      </c>
      <c r="O174" s="2"/>
    </row>
    <row r="175" spans="1:15" ht="30" customHeight="1" x14ac:dyDescent="0.25">
      <c r="A175" s="2" t="s">
        <v>766</v>
      </c>
      <c r="B175" s="2" t="s">
        <v>48</v>
      </c>
      <c r="C175" s="2" t="s">
        <v>767</v>
      </c>
      <c r="D175" s="2" t="s">
        <v>768</v>
      </c>
      <c r="E175" s="2" t="s">
        <v>135</v>
      </c>
      <c r="F175" s="2" t="s">
        <v>770</v>
      </c>
      <c r="G175" s="2" t="s">
        <v>1082</v>
      </c>
      <c r="H175" s="2" t="s">
        <v>41</v>
      </c>
      <c r="I175" s="2" t="s">
        <v>765</v>
      </c>
      <c r="J175" s="2" t="str">
        <f>IFERROR(INDEX('Functional Acceptance'!$L:$L,MATCH($I175,'Functional Acceptance'!$B:$B,0)),"")</f>
        <v>Pass</v>
      </c>
      <c r="K175" s="7">
        <f>IFERROR(INDEX('Functional Acceptance'!$M:$M,MATCH($I175,'Functional Acceptance'!$B:$B,0)),"")</f>
        <v>46323</v>
      </c>
      <c r="L175" s="2">
        <f>IFERROR(INDEX('Functional Acceptance'!$N:$N,MATCH($I175,'Functional Acceptance'!$B:$B,0)),"")</f>
        <v>0</v>
      </c>
      <c r="M175" s="2" t="str">
        <f>IFERROR(INDEX('Functional Acceptance'!$O:$O,MATCH($I175,'Functional Acceptance'!$B:$B,0)),"")</f>
        <v>spec/meals/README.md#phase-0a-technical-evidence; P0-UAT-001: designated owner reported live Life Manager UAT PASS on 2026-10-28; release 8298e2e0797ddff7d2d53cc058fa41fb407ac0ab; recorded by Copilot from owner report, not automated authenticated verification</v>
      </c>
      <c r="N175" s="2" t="s">
        <v>1075</v>
      </c>
      <c r="O175" s="2"/>
    </row>
    <row r="176" spans="1:15" ht="30" customHeight="1" x14ac:dyDescent="0.25">
      <c r="A176" s="2" t="s">
        <v>773</v>
      </c>
      <c r="B176" s="2" t="s">
        <v>50</v>
      </c>
      <c r="C176" s="2" t="s">
        <v>767</v>
      </c>
      <c r="D176" s="2" t="s">
        <v>768</v>
      </c>
      <c r="E176" s="2" t="s">
        <v>135</v>
      </c>
      <c r="F176" s="2" t="s">
        <v>775</v>
      </c>
      <c r="G176" s="2" t="s">
        <v>1082</v>
      </c>
      <c r="H176" s="2" t="s">
        <v>41</v>
      </c>
      <c r="I176" s="2" t="s">
        <v>772</v>
      </c>
      <c r="J176" s="2" t="str">
        <f>IFERROR(INDEX('Functional Acceptance'!$L:$L,MATCH($I176,'Functional Acceptance'!$B:$B,0)),"")</f>
        <v>Not Built</v>
      </c>
      <c r="K176" s="7">
        <f>IFERROR(INDEX('Functional Acceptance'!$M:$M,MATCH($I176,'Functional Acceptance'!$B:$B,0)),"")</f>
        <v>0</v>
      </c>
      <c r="L176" s="2">
        <f>IFERROR(INDEX('Functional Acceptance'!$N:$N,MATCH($I176,'Functional Acceptance'!$B:$B,0)),"")</f>
        <v>0</v>
      </c>
      <c r="M176" s="2">
        <f>IFERROR(INDEX('Functional Acceptance'!$O:$O,MATCH($I176,'Functional Acceptance'!$B:$B,0)),"")</f>
        <v>0</v>
      </c>
      <c r="N176" s="2" t="s">
        <v>1075</v>
      </c>
      <c r="O176" s="2"/>
    </row>
    <row r="177" spans="1:15" ht="30" customHeight="1" x14ac:dyDescent="0.25">
      <c r="A177" s="2" t="s">
        <v>777</v>
      </c>
      <c r="B177" s="2" t="s">
        <v>50</v>
      </c>
      <c r="C177" s="2" t="s">
        <v>767</v>
      </c>
      <c r="D177" s="2" t="s">
        <v>768</v>
      </c>
      <c r="E177" s="2" t="s">
        <v>141</v>
      </c>
      <c r="F177" s="2" t="s">
        <v>779</v>
      </c>
      <c r="G177" s="2" t="s">
        <v>1082</v>
      </c>
      <c r="H177" s="2" t="s">
        <v>41</v>
      </c>
      <c r="I177" s="2" t="s">
        <v>776</v>
      </c>
      <c r="J177" s="2" t="str">
        <f>IFERROR(INDEX('Functional Acceptance'!$L:$L,MATCH($I177,'Functional Acceptance'!$B:$B,0)),"")</f>
        <v>Not Built</v>
      </c>
      <c r="K177" s="7">
        <f>IFERROR(INDEX('Functional Acceptance'!$M:$M,MATCH($I177,'Functional Acceptance'!$B:$B,0)),"")</f>
        <v>0</v>
      </c>
      <c r="L177" s="2">
        <f>IFERROR(INDEX('Functional Acceptance'!$N:$N,MATCH($I177,'Functional Acceptance'!$B:$B,0)),"")</f>
        <v>0</v>
      </c>
      <c r="M177" s="2">
        <f>IFERROR(INDEX('Functional Acceptance'!$O:$O,MATCH($I177,'Functional Acceptance'!$B:$B,0)),"")</f>
        <v>0</v>
      </c>
      <c r="N177" s="2" t="s">
        <v>1075</v>
      </c>
      <c r="O177" s="2"/>
    </row>
    <row r="178" spans="1:15" ht="60" customHeight="1" x14ac:dyDescent="0.25">
      <c r="A178" s="2" t="s">
        <v>781</v>
      </c>
      <c r="B178" s="2" t="s">
        <v>50</v>
      </c>
      <c r="C178" s="2" t="s">
        <v>782</v>
      </c>
      <c r="D178" s="2" t="s">
        <v>234</v>
      </c>
      <c r="E178" s="2" t="s">
        <v>98</v>
      </c>
      <c r="F178" s="2" t="s">
        <v>784</v>
      </c>
      <c r="G178" s="2" t="s">
        <v>1082</v>
      </c>
      <c r="H178" s="2" t="s">
        <v>41</v>
      </c>
      <c r="I178" s="2" t="s">
        <v>780</v>
      </c>
      <c r="J178" s="2" t="str">
        <f>IFERROR(INDEX('Functional Acceptance'!$L:$L,MATCH($I178,'Functional Acceptance'!$B:$B,0)),"")</f>
        <v>Not Built</v>
      </c>
      <c r="K178" s="7">
        <f>IFERROR(INDEX('Functional Acceptance'!$M:$M,MATCH($I178,'Functional Acceptance'!$B:$B,0)),"")</f>
        <v>0</v>
      </c>
      <c r="L178" s="2">
        <f>IFERROR(INDEX('Functional Acceptance'!$N:$N,MATCH($I178,'Functional Acceptance'!$B:$B,0)),"")</f>
        <v>0</v>
      </c>
      <c r="M178" s="2">
        <f>IFERROR(INDEX('Functional Acceptance'!$O:$O,MATCH($I178,'Functional Acceptance'!$B:$B,0)),"")</f>
        <v>0</v>
      </c>
      <c r="N178" s="2" t="s">
        <v>1075</v>
      </c>
      <c r="O178" s="2"/>
    </row>
    <row r="179" spans="1:15" ht="30" customHeight="1" x14ac:dyDescent="0.25">
      <c r="A179" s="2" t="s">
        <v>786</v>
      </c>
      <c r="B179" s="2" t="s">
        <v>50</v>
      </c>
      <c r="C179" s="2" t="s">
        <v>782</v>
      </c>
      <c r="D179" s="2" t="s">
        <v>234</v>
      </c>
      <c r="E179" s="2" t="s">
        <v>98</v>
      </c>
      <c r="F179" s="2" t="s">
        <v>788</v>
      </c>
      <c r="G179" s="2" t="s">
        <v>1082</v>
      </c>
      <c r="H179" s="2" t="s">
        <v>41</v>
      </c>
      <c r="I179" s="2" t="s">
        <v>785</v>
      </c>
      <c r="J179" s="2" t="str">
        <f>IFERROR(INDEX('Functional Acceptance'!$L:$L,MATCH($I179,'Functional Acceptance'!$B:$B,0)),"")</f>
        <v>Not Built</v>
      </c>
      <c r="K179" s="7">
        <f>IFERROR(INDEX('Functional Acceptance'!$M:$M,MATCH($I179,'Functional Acceptance'!$B:$B,0)),"")</f>
        <v>0</v>
      </c>
      <c r="L179" s="2">
        <f>IFERROR(INDEX('Functional Acceptance'!$N:$N,MATCH($I179,'Functional Acceptance'!$B:$B,0)),"")</f>
        <v>0</v>
      </c>
      <c r="M179" s="2">
        <f>IFERROR(INDEX('Functional Acceptance'!$O:$O,MATCH($I179,'Functional Acceptance'!$B:$B,0)),"")</f>
        <v>0</v>
      </c>
      <c r="N179" s="2" t="s">
        <v>1075</v>
      </c>
      <c r="O179" s="2"/>
    </row>
    <row r="180" spans="1:15" ht="30" customHeight="1" x14ac:dyDescent="0.25">
      <c r="A180" s="2" t="s">
        <v>790</v>
      </c>
      <c r="B180" s="2" t="s">
        <v>50</v>
      </c>
      <c r="C180" s="2" t="s">
        <v>782</v>
      </c>
      <c r="D180" s="2" t="s">
        <v>234</v>
      </c>
      <c r="E180" s="2" t="s">
        <v>98</v>
      </c>
      <c r="F180" s="2" t="s">
        <v>792</v>
      </c>
      <c r="G180" s="2" t="s">
        <v>1082</v>
      </c>
      <c r="H180" s="2" t="s">
        <v>41</v>
      </c>
      <c r="I180" s="2" t="s">
        <v>789</v>
      </c>
      <c r="J180" s="2" t="str">
        <f>IFERROR(INDEX('Functional Acceptance'!$L:$L,MATCH($I180,'Functional Acceptance'!$B:$B,0)),"")</f>
        <v>Not Built</v>
      </c>
      <c r="K180" s="7">
        <f>IFERROR(INDEX('Functional Acceptance'!$M:$M,MATCH($I180,'Functional Acceptance'!$B:$B,0)),"")</f>
        <v>0</v>
      </c>
      <c r="L180" s="2">
        <f>IFERROR(INDEX('Functional Acceptance'!$N:$N,MATCH($I180,'Functional Acceptance'!$B:$B,0)),"")</f>
        <v>0</v>
      </c>
      <c r="M180" s="2">
        <f>IFERROR(INDEX('Functional Acceptance'!$O:$O,MATCH($I180,'Functional Acceptance'!$B:$B,0)),"")</f>
        <v>0</v>
      </c>
      <c r="N180" s="2" t="s">
        <v>1075</v>
      </c>
      <c r="O180" s="2"/>
    </row>
    <row r="181" spans="1:15" ht="30" customHeight="1" x14ac:dyDescent="0.25">
      <c r="A181" s="2" t="s">
        <v>794</v>
      </c>
      <c r="B181" s="2" t="s">
        <v>50</v>
      </c>
      <c r="C181" s="2" t="s">
        <v>782</v>
      </c>
      <c r="D181" s="2" t="s">
        <v>234</v>
      </c>
      <c r="E181" s="2" t="s">
        <v>135</v>
      </c>
      <c r="F181" s="2" t="s">
        <v>796</v>
      </c>
      <c r="G181" s="2" t="s">
        <v>1082</v>
      </c>
      <c r="H181" s="2" t="s">
        <v>41</v>
      </c>
      <c r="I181" s="2" t="s">
        <v>793</v>
      </c>
      <c r="J181" s="2" t="str">
        <f>IFERROR(INDEX('Functional Acceptance'!$L:$L,MATCH($I181,'Functional Acceptance'!$B:$B,0)),"")</f>
        <v>Not Built</v>
      </c>
      <c r="K181" s="7">
        <f>IFERROR(INDEX('Functional Acceptance'!$M:$M,MATCH($I181,'Functional Acceptance'!$B:$B,0)),"")</f>
        <v>0</v>
      </c>
      <c r="L181" s="2">
        <f>IFERROR(INDEX('Functional Acceptance'!$N:$N,MATCH($I181,'Functional Acceptance'!$B:$B,0)),"")</f>
        <v>0</v>
      </c>
      <c r="M181" s="2">
        <f>IFERROR(INDEX('Functional Acceptance'!$O:$O,MATCH($I181,'Functional Acceptance'!$B:$B,0)),"")</f>
        <v>0</v>
      </c>
      <c r="N181" s="2" t="s">
        <v>1075</v>
      </c>
      <c r="O181" s="2"/>
    </row>
    <row r="182" spans="1:15" ht="15" customHeight="1" x14ac:dyDescent="0.25">
      <c r="A182" s="2" t="s">
        <v>799</v>
      </c>
      <c r="B182" s="2" t="s">
        <v>50</v>
      </c>
      <c r="C182" s="2" t="s">
        <v>782</v>
      </c>
      <c r="D182" s="2" t="s">
        <v>234</v>
      </c>
      <c r="E182" s="2" t="s">
        <v>98</v>
      </c>
      <c r="F182" s="2" t="s">
        <v>801</v>
      </c>
      <c r="G182" s="2" t="s">
        <v>1082</v>
      </c>
      <c r="H182" s="2" t="s">
        <v>41</v>
      </c>
      <c r="I182" s="2" t="s">
        <v>798</v>
      </c>
      <c r="J182" s="2" t="str">
        <f>IFERROR(INDEX('Functional Acceptance'!$L:$L,MATCH($I182,'Functional Acceptance'!$B:$B,0)),"")</f>
        <v>Not Built</v>
      </c>
      <c r="K182" s="7">
        <f>IFERROR(INDEX('Functional Acceptance'!$M:$M,MATCH($I182,'Functional Acceptance'!$B:$B,0)),"")</f>
        <v>0</v>
      </c>
      <c r="L182" s="2">
        <f>IFERROR(INDEX('Functional Acceptance'!$N:$N,MATCH($I182,'Functional Acceptance'!$B:$B,0)),"")</f>
        <v>0</v>
      </c>
      <c r="M182" s="2">
        <f>IFERROR(INDEX('Functional Acceptance'!$O:$O,MATCH($I182,'Functional Acceptance'!$B:$B,0)),"")</f>
        <v>0</v>
      </c>
      <c r="N182" s="2" t="s">
        <v>1075</v>
      </c>
      <c r="O182" s="2"/>
    </row>
    <row r="183" spans="1:15" ht="45" customHeight="1" x14ac:dyDescent="0.25">
      <c r="A183" s="2" t="s">
        <v>803</v>
      </c>
      <c r="B183" s="2" t="s">
        <v>52</v>
      </c>
      <c r="C183" s="2" t="s">
        <v>782</v>
      </c>
      <c r="D183" s="2" t="s">
        <v>234</v>
      </c>
      <c r="E183" s="2" t="s">
        <v>98</v>
      </c>
      <c r="F183" s="2" t="s">
        <v>805</v>
      </c>
      <c r="G183" s="2" t="s">
        <v>1082</v>
      </c>
      <c r="H183" s="2" t="s">
        <v>41</v>
      </c>
      <c r="I183" s="2" t="s">
        <v>802</v>
      </c>
      <c r="J183" s="2" t="str">
        <f>IFERROR(INDEX('Functional Acceptance'!$L:$L,MATCH($I183,'Functional Acceptance'!$B:$B,0)),"")</f>
        <v>Not Built</v>
      </c>
      <c r="K183" s="7">
        <f>IFERROR(INDEX('Functional Acceptance'!$M:$M,MATCH($I183,'Functional Acceptance'!$B:$B,0)),"")</f>
        <v>0</v>
      </c>
      <c r="L183" s="2">
        <f>IFERROR(INDEX('Functional Acceptance'!$N:$N,MATCH($I183,'Functional Acceptance'!$B:$B,0)),"")</f>
        <v>0</v>
      </c>
      <c r="M183" s="2">
        <f>IFERROR(INDEX('Functional Acceptance'!$O:$O,MATCH($I183,'Functional Acceptance'!$B:$B,0)),"")</f>
        <v>0</v>
      </c>
      <c r="N183" s="2" t="s">
        <v>1075</v>
      </c>
      <c r="O183" s="2"/>
    </row>
    <row r="184" spans="1:15" ht="45" customHeight="1" x14ac:dyDescent="0.25">
      <c r="A184" s="2" t="s">
        <v>807</v>
      </c>
      <c r="B184" s="2" t="s">
        <v>50</v>
      </c>
      <c r="C184" s="2" t="s">
        <v>782</v>
      </c>
      <c r="D184" s="2" t="s">
        <v>234</v>
      </c>
      <c r="E184" s="2" t="s">
        <v>98</v>
      </c>
      <c r="F184" s="2" t="s">
        <v>809</v>
      </c>
      <c r="G184" s="2" t="s">
        <v>1082</v>
      </c>
      <c r="H184" s="2" t="s">
        <v>41</v>
      </c>
      <c r="I184" s="2" t="s">
        <v>806</v>
      </c>
      <c r="J184" s="2" t="str">
        <f>IFERROR(INDEX('Functional Acceptance'!$L:$L,MATCH($I184,'Functional Acceptance'!$B:$B,0)),"")</f>
        <v>Not Built</v>
      </c>
      <c r="K184" s="7">
        <f>IFERROR(INDEX('Functional Acceptance'!$M:$M,MATCH($I184,'Functional Acceptance'!$B:$B,0)),"")</f>
        <v>0</v>
      </c>
      <c r="L184" s="2">
        <f>IFERROR(INDEX('Functional Acceptance'!$N:$N,MATCH($I184,'Functional Acceptance'!$B:$B,0)),"")</f>
        <v>0</v>
      </c>
      <c r="M184" s="2">
        <f>IFERROR(INDEX('Functional Acceptance'!$O:$O,MATCH($I184,'Functional Acceptance'!$B:$B,0)),"")</f>
        <v>0</v>
      </c>
      <c r="N184" s="2" t="s">
        <v>1075</v>
      </c>
      <c r="O184" s="2"/>
    </row>
    <row r="185" spans="1:15" ht="15" customHeight="1" x14ac:dyDescent="0.25">
      <c r="A185" s="2" t="s">
        <v>940</v>
      </c>
      <c r="B185" s="2" t="s">
        <v>48</v>
      </c>
      <c r="C185" s="2" t="s">
        <v>941</v>
      </c>
      <c r="D185" s="2" t="s">
        <v>1087</v>
      </c>
      <c r="E185" s="2" t="s">
        <v>98</v>
      </c>
      <c r="F185" s="2" t="s">
        <v>942</v>
      </c>
      <c r="G185" s="2" t="s">
        <v>1076</v>
      </c>
      <c r="H185" s="2" t="s">
        <v>44</v>
      </c>
      <c r="I185" s="2" t="s">
        <v>939</v>
      </c>
      <c r="J185" s="2" t="str">
        <f>IFERROR(INDEX('Database Verification'!$N:$N,MATCH($I185,'Database Verification'!$B:$B,0)),"")</f>
        <v>Pass</v>
      </c>
      <c r="K185" s="7" t="str">
        <f>IFERROR(INDEX('Database Verification'!$J:$J,MATCH($I185,'Database Verification'!$B:$B,0)),"")</f>
        <v>2026-10-28</v>
      </c>
      <c r="L185" s="2"/>
      <c r="M185" s="2" t="str">
        <f>IFERROR(INDEX('Database Verification'!$O:$O,MATCH($I185,'Database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85" s="2" t="s">
        <v>1075</v>
      </c>
      <c r="O185" s="2"/>
    </row>
    <row r="186" spans="1:15" ht="30" customHeight="1" x14ac:dyDescent="0.25">
      <c r="A186" s="2" t="s">
        <v>944</v>
      </c>
      <c r="B186" s="2" t="s">
        <v>48</v>
      </c>
      <c r="C186" s="2" t="s">
        <v>941</v>
      </c>
      <c r="D186" s="2" t="s">
        <v>1087</v>
      </c>
      <c r="E186" s="2" t="s">
        <v>98</v>
      </c>
      <c r="F186" s="2" t="s">
        <v>945</v>
      </c>
      <c r="G186" s="2" t="s">
        <v>1076</v>
      </c>
      <c r="H186" s="2" t="s">
        <v>44</v>
      </c>
      <c r="I186" s="2" t="s">
        <v>943</v>
      </c>
      <c r="J186" s="2" t="str">
        <f>IFERROR(INDEX('Database Verification'!$N:$N,MATCH($I186,'Database Verification'!$B:$B,0)),"")</f>
        <v>Pass</v>
      </c>
      <c r="K186" s="7" t="str">
        <f>IFERROR(INDEX('Database Verification'!$J:$J,MATCH($I186,'Database Verification'!$B:$B,0)),"")</f>
        <v>2026-10-28</v>
      </c>
      <c r="L186" s="2"/>
      <c r="M186" s="2" t="str">
        <f>IFERROR(INDEX('Database Verification'!$O:$O,MATCH($I186,'Database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86" s="2" t="s">
        <v>1075</v>
      </c>
      <c r="O186" s="2"/>
    </row>
    <row r="187" spans="1:15" ht="30" customHeight="1" x14ac:dyDescent="0.25">
      <c r="A187" s="2" t="s">
        <v>947</v>
      </c>
      <c r="B187" s="2" t="s">
        <v>48</v>
      </c>
      <c r="C187" s="2" t="s">
        <v>941</v>
      </c>
      <c r="D187" s="2" t="s">
        <v>1087</v>
      </c>
      <c r="E187" s="2" t="s">
        <v>98</v>
      </c>
      <c r="F187" s="2" t="s">
        <v>948</v>
      </c>
      <c r="G187" s="2" t="s">
        <v>1076</v>
      </c>
      <c r="H187" s="2" t="s">
        <v>44</v>
      </c>
      <c r="I187" s="2" t="s">
        <v>946</v>
      </c>
      <c r="J187" s="2" t="str">
        <f>IFERROR(INDEX('Database Verification'!$N:$N,MATCH($I187,'Database Verification'!$B:$B,0)),"")</f>
        <v>Pass</v>
      </c>
      <c r="K187" s="7" t="str">
        <f>IFERROR(INDEX('Database Verification'!$J:$J,MATCH($I187,'Database Verification'!$B:$B,0)),"")</f>
        <v>2026-10-28</v>
      </c>
      <c r="L187" s="2"/>
      <c r="M187" s="2" t="str">
        <f>IFERROR(INDEX('Database Verification'!$O:$O,MATCH($I187,'Database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87" s="2" t="s">
        <v>1075</v>
      </c>
      <c r="O187" s="2"/>
    </row>
    <row r="188" spans="1:15" ht="30" customHeight="1" x14ac:dyDescent="0.25">
      <c r="A188" s="2" t="s">
        <v>950</v>
      </c>
      <c r="B188" s="2" t="s">
        <v>48</v>
      </c>
      <c r="C188" s="2" t="s">
        <v>941</v>
      </c>
      <c r="D188" s="2" t="s">
        <v>1087</v>
      </c>
      <c r="E188" s="2" t="s">
        <v>98</v>
      </c>
      <c r="F188" s="2" t="s">
        <v>951</v>
      </c>
      <c r="G188" s="2" t="s">
        <v>1076</v>
      </c>
      <c r="H188" s="2" t="s">
        <v>44</v>
      </c>
      <c r="I188" s="2" t="s">
        <v>949</v>
      </c>
      <c r="J188" s="2" t="str">
        <f>IFERROR(INDEX('Database Verification'!$N:$N,MATCH($I188,'Database Verification'!$B:$B,0)),"")</f>
        <v>Pass</v>
      </c>
      <c r="K188" s="7" t="str">
        <f>IFERROR(INDEX('Database Verification'!$J:$J,MATCH($I188,'Database Verification'!$B:$B,0)),"")</f>
        <v>2026-10-28</v>
      </c>
      <c r="L188" s="2"/>
      <c r="M188" s="2" t="str">
        <f>IFERROR(INDEX('Database Verification'!$O:$O,MATCH($I188,'Database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88" s="2" t="s">
        <v>1075</v>
      </c>
      <c r="O188" s="2"/>
    </row>
    <row r="189" spans="1:15" ht="45" customHeight="1" x14ac:dyDescent="0.25">
      <c r="A189" s="2" t="s">
        <v>953</v>
      </c>
      <c r="B189" s="2" t="s">
        <v>48</v>
      </c>
      <c r="C189" s="2" t="s">
        <v>941</v>
      </c>
      <c r="D189" s="2" t="s">
        <v>1087</v>
      </c>
      <c r="E189" s="2" t="s">
        <v>98</v>
      </c>
      <c r="F189" s="2" t="s">
        <v>954</v>
      </c>
      <c r="G189" s="2" t="s">
        <v>1076</v>
      </c>
      <c r="H189" s="2" t="s">
        <v>44</v>
      </c>
      <c r="I189" s="2" t="s">
        <v>952</v>
      </c>
      <c r="J189" s="2" t="str">
        <f>IFERROR(INDEX('Database Verification'!$N:$N,MATCH($I189,'Database Verification'!$B:$B,0)),"")</f>
        <v>Not Built</v>
      </c>
      <c r="K189" s="7">
        <f>IFERROR(INDEX('Database Verification'!$J:$J,MATCH($I189,'Database Verification'!$B:$B,0)),"")</f>
        <v>0</v>
      </c>
      <c r="L189" s="2"/>
      <c r="M189" s="2">
        <f>IFERROR(INDEX('Database Verification'!$O:$O,MATCH($I189,'Database Verification'!$B:$B,0)),"")</f>
        <v>0</v>
      </c>
      <c r="N189" s="2" t="s">
        <v>1075</v>
      </c>
      <c r="O189" s="2"/>
    </row>
    <row r="190" spans="1:15" ht="45" customHeight="1" x14ac:dyDescent="0.25">
      <c r="A190" s="2" t="s">
        <v>956</v>
      </c>
      <c r="B190" s="2" t="s">
        <v>48</v>
      </c>
      <c r="C190" s="2" t="s">
        <v>941</v>
      </c>
      <c r="D190" s="2" t="s">
        <v>1087</v>
      </c>
      <c r="E190" s="2" t="s">
        <v>98</v>
      </c>
      <c r="F190" s="2" t="s">
        <v>957</v>
      </c>
      <c r="G190" s="2" t="s">
        <v>1076</v>
      </c>
      <c r="H190" s="2" t="s">
        <v>44</v>
      </c>
      <c r="I190" s="2" t="s">
        <v>955</v>
      </c>
      <c r="J190" s="2" t="str">
        <f>IFERROR(INDEX('Database Verification'!$N:$N,MATCH($I190,'Database Verification'!$B:$B,0)),"")</f>
        <v>Pass</v>
      </c>
      <c r="K190" s="7" t="str">
        <f>IFERROR(INDEX('Database Verification'!$J:$J,MATCH($I190,'Database Verification'!$B:$B,0)),"")</f>
        <v>2026-10-28</v>
      </c>
      <c r="L190" s="2"/>
      <c r="M190" s="2" t="str">
        <f>IFERROR(INDEX('Database Verification'!$O:$O,MATCH($I190,'Database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90" s="2" t="s">
        <v>1075</v>
      </c>
      <c r="O190" s="2"/>
    </row>
    <row r="191" spans="1:15" ht="45" customHeight="1" x14ac:dyDescent="0.25">
      <c r="A191" s="2" t="s">
        <v>959</v>
      </c>
      <c r="B191" s="2" t="s">
        <v>48</v>
      </c>
      <c r="C191" s="2" t="s">
        <v>941</v>
      </c>
      <c r="D191" s="2" t="s">
        <v>1087</v>
      </c>
      <c r="E191" s="2" t="s">
        <v>98</v>
      </c>
      <c r="F191" s="2" t="s">
        <v>960</v>
      </c>
      <c r="G191" s="2" t="s">
        <v>1076</v>
      </c>
      <c r="H191" s="2" t="s">
        <v>44</v>
      </c>
      <c r="I191" s="2" t="s">
        <v>958</v>
      </c>
      <c r="J191" s="2" t="str">
        <f>IFERROR(INDEX('Database Verification'!$N:$N,MATCH($I191,'Database Verification'!$B:$B,0)),"")</f>
        <v>Pass</v>
      </c>
      <c r="K191" s="7" t="str">
        <f>IFERROR(INDEX('Database Verification'!$J:$J,MATCH($I191,'Database Verification'!$B:$B,0)),"")</f>
        <v>2026-10-28</v>
      </c>
      <c r="L191" s="2"/>
      <c r="M191" s="2" t="str">
        <f>IFERROR(INDEX('Database Verification'!$O:$O,MATCH($I191,'Database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91" s="2" t="s">
        <v>1075</v>
      </c>
      <c r="O191" s="2"/>
    </row>
    <row r="192" spans="1:15" ht="45" customHeight="1" x14ac:dyDescent="0.25">
      <c r="A192" s="2" t="s">
        <v>962</v>
      </c>
      <c r="B192" s="2" t="s">
        <v>48</v>
      </c>
      <c r="C192" s="2" t="s">
        <v>941</v>
      </c>
      <c r="D192" s="2" t="s">
        <v>1087</v>
      </c>
      <c r="E192" s="2" t="s">
        <v>98</v>
      </c>
      <c r="F192" s="2" t="s">
        <v>963</v>
      </c>
      <c r="G192" s="2" t="s">
        <v>1076</v>
      </c>
      <c r="H192" s="2" t="s">
        <v>44</v>
      </c>
      <c r="I192" s="2" t="s">
        <v>961</v>
      </c>
      <c r="J192" s="2" t="str">
        <f>IFERROR(INDEX('Database Verification'!$N:$N,MATCH($I192,'Database Verification'!$B:$B,0)),"")</f>
        <v>Not Built</v>
      </c>
      <c r="K192" s="7">
        <f>IFERROR(INDEX('Database Verification'!$J:$J,MATCH($I192,'Database Verification'!$B:$B,0)),"")</f>
        <v>0</v>
      </c>
      <c r="L192" s="2"/>
      <c r="M192" s="2">
        <f>IFERROR(INDEX('Database Verification'!$O:$O,MATCH($I192,'Database Verification'!$B:$B,0)),"")</f>
        <v>0</v>
      </c>
      <c r="N192" s="2" t="s">
        <v>1075</v>
      </c>
      <c r="O192" s="2"/>
    </row>
    <row r="193" spans="1:15" ht="30" customHeight="1" x14ac:dyDescent="0.25">
      <c r="A193" s="2" t="s">
        <v>965</v>
      </c>
      <c r="B193" s="2" t="s">
        <v>48</v>
      </c>
      <c r="C193" s="2" t="s">
        <v>941</v>
      </c>
      <c r="D193" s="2" t="s">
        <v>1087</v>
      </c>
      <c r="E193" s="2" t="s">
        <v>98</v>
      </c>
      <c r="F193" s="2" t="s">
        <v>966</v>
      </c>
      <c r="G193" s="2" t="s">
        <v>1076</v>
      </c>
      <c r="H193" s="2" t="s">
        <v>44</v>
      </c>
      <c r="I193" s="2" t="s">
        <v>964</v>
      </c>
      <c r="J193" s="2" t="str">
        <f>IFERROR(INDEX('Database Verification'!$N:$N,MATCH($I193,'Database Verification'!$B:$B,0)),"")</f>
        <v>Not Built</v>
      </c>
      <c r="K193" s="7">
        <f>IFERROR(INDEX('Database Verification'!$J:$J,MATCH($I193,'Database Verification'!$B:$B,0)),"")</f>
        <v>0</v>
      </c>
      <c r="L193" s="2"/>
      <c r="M193" s="2">
        <f>IFERROR(INDEX('Database Verification'!$O:$O,MATCH($I193,'Database Verification'!$B:$B,0)),"")</f>
        <v>0</v>
      </c>
      <c r="N193" s="2" t="s">
        <v>1075</v>
      </c>
      <c r="O193" s="2"/>
    </row>
    <row r="194" spans="1:15" ht="45" customHeight="1" x14ac:dyDescent="0.25">
      <c r="A194" s="2" t="s">
        <v>968</v>
      </c>
      <c r="B194" s="2" t="s">
        <v>48</v>
      </c>
      <c r="C194" s="2" t="s">
        <v>941</v>
      </c>
      <c r="D194" s="2" t="s">
        <v>1087</v>
      </c>
      <c r="E194" s="2" t="s">
        <v>98</v>
      </c>
      <c r="F194" s="2" t="s">
        <v>969</v>
      </c>
      <c r="G194" s="2" t="s">
        <v>1076</v>
      </c>
      <c r="H194" s="2" t="s">
        <v>44</v>
      </c>
      <c r="I194" s="2" t="s">
        <v>967</v>
      </c>
      <c r="J194" s="2" t="str">
        <f>IFERROR(INDEX('Database Verification'!$N:$N,MATCH($I194,'Database Verification'!$B:$B,0)),"")</f>
        <v>Not Built</v>
      </c>
      <c r="K194" s="7">
        <f>IFERROR(INDEX('Database Verification'!$J:$J,MATCH($I194,'Database Verification'!$B:$B,0)),"")</f>
        <v>0</v>
      </c>
      <c r="L194" s="2"/>
      <c r="M194" s="2">
        <f>IFERROR(INDEX('Database Verification'!$O:$O,MATCH($I194,'Database Verification'!$B:$B,0)),"")</f>
        <v>0</v>
      </c>
      <c r="N194" s="2" t="s">
        <v>1075</v>
      </c>
      <c r="O194" s="2"/>
    </row>
    <row r="195" spans="1:15" ht="30" customHeight="1" x14ac:dyDescent="0.25">
      <c r="A195" s="2" t="s">
        <v>971</v>
      </c>
      <c r="B195" s="2" t="s">
        <v>48</v>
      </c>
      <c r="C195" s="2" t="s">
        <v>941</v>
      </c>
      <c r="D195" s="2" t="s">
        <v>1087</v>
      </c>
      <c r="E195" s="2" t="s">
        <v>98</v>
      </c>
      <c r="F195" s="2" t="s">
        <v>972</v>
      </c>
      <c r="G195" s="2" t="s">
        <v>1076</v>
      </c>
      <c r="H195" s="2" t="s">
        <v>44</v>
      </c>
      <c r="I195" s="2" t="s">
        <v>970</v>
      </c>
      <c r="J195" s="2" t="str">
        <f>IFERROR(INDEX('Database Verification'!$N:$N,MATCH($I195,'Database Verification'!$B:$B,0)),"")</f>
        <v>Pass</v>
      </c>
      <c r="K195" s="7" t="str">
        <f>IFERROR(INDEX('Database Verification'!$J:$J,MATCH($I195,'Database Verification'!$B:$B,0)),"")</f>
        <v>2026-10-28</v>
      </c>
      <c r="L195" s="2"/>
      <c r="M195" s="2" t="str">
        <f>IFERROR(INDEX('Database Verification'!$O:$O,MATCH($I195,'Database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95" s="2" t="s">
        <v>1075</v>
      </c>
      <c r="O195" s="2"/>
    </row>
    <row r="196" spans="1:15" ht="45" customHeight="1" x14ac:dyDescent="0.25">
      <c r="A196" s="2" t="s">
        <v>974</v>
      </c>
      <c r="B196" s="2" t="s">
        <v>48</v>
      </c>
      <c r="C196" s="2" t="s">
        <v>941</v>
      </c>
      <c r="D196" s="2" t="s">
        <v>1087</v>
      </c>
      <c r="E196" s="2" t="s">
        <v>98</v>
      </c>
      <c r="F196" s="2" t="s">
        <v>975</v>
      </c>
      <c r="G196" s="2" t="s">
        <v>1076</v>
      </c>
      <c r="H196" s="2" t="s">
        <v>44</v>
      </c>
      <c r="I196" s="2" t="s">
        <v>973</v>
      </c>
      <c r="J196" s="2" t="str">
        <f>IFERROR(INDEX('Database Verification'!$N:$N,MATCH($I196,'Database Verification'!$B:$B,0)),"")</f>
        <v>Pass</v>
      </c>
      <c r="K196" s="7" t="str">
        <f>IFERROR(INDEX('Database Verification'!$J:$J,MATCH($I196,'Database Verification'!$B:$B,0)),"")</f>
        <v>2026-10-28</v>
      </c>
      <c r="L196" s="2"/>
      <c r="M196" s="2" t="str">
        <f>IFERROR(INDEX('Database Verification'!$O:$O,MATCH($I196,'Database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96" s="2" t="s">
        <v>1075</v>
      </c>
      <c r="O196" s="2"/>
    </row>
    <row r="197" spans="1:15" ht="60" customHeight="1" x14ac:dyDescent="0.25">
      <c r="A197" s="2" t="s">
        <v>977</v>
      </c>
      <c r="B197" s="2" t="s">
        <v>48</v>
      </c>
      <c r="C197" s="2" t="s">
        <v>941</v>
      </c>
      <c r="D197" s="2" t="s">
        <v>302</v>
      </c>
      <c r="E197" s="2" t="s">
        <v>98</v>
      </c>
      <c r="F197" s="2" t="s">
        <v>978</v>
      </c>
      <c r="G197" s="2" t="s">
        <v>1076</v>
      </c>
      <c r="H197" s="2" t="s">
        <v>44</v>
      </c>
      <c r="I197" s="2" t="s">
        <v>976</v>
      </c>
      <c r="J197" s="2" t="str">
        <f>IFERROR(INDEX('Database Verification'!$N:$N,MATCH($I197,'Database Verification'!$B:$B,0)),"")</f>
        <v>Pass</v>
      </c>
      <c r="K197" s="7" t="str">
        <f>IFERROR(INDEX('Database Verification'!$J:$J,MATCH($I197,'Database Verification'!$B:$B,0)),"")</f>
        <v>2026-10-28</v>
      </c>
      <c r="L197" s="2"/>
      <c r="M197" s="2" t="str">
        <f>IFERROR(INDEX('Database Verification'!$O:$O,MATCH($I197,'Database Verification'!$B:$B,0)),"")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197" s="2" t="s">
        <v>1075</v>
      </c>
      <c r="O197" s="2"/>
    </row>
    <row r="198" spans="1:15" ht="15" customHeight="1" x14ac:dyDescent="0.25">
      <c r="A198" s="2" t="s">
        <v>870</v>
      </c>
      <c r="B198" s="2" t="s">
        <v>48</v>
      </c>
      <c r="C198" s="2" t="s">
        <v>871</v>
      </c>
      <c r="D198" s="2" t="s">
        <v>872</v>
      </c>
      <c r="E198" s="2" t="s">
        <v>98</v>
      </c>
      <c r="F198" s="2" t="s">
        <v>875</v>
      </c>
      <c r="G198" s="2" t="s">
        <v>1074</v>
      </c>
      <c r="H198" s="2" t="s">
        <v>43</v>
      </c>
      <c r="I198" s="2" t="s">
        <v>869</v>
      </c>
      <c r="J198" s="2" t="str">
        <f>IFERROR(INDEX('Security Acceptance'!$N:$N,MATCH($I198,'Security Acceptance'!$B:$B,0)),"")</f>
        <v>Not Built</v>
      </c>
      <c r="K198" s="7">
        <f>IFERROR(INDEX('Security Acceptance'!$O:$O,MATCH($I198,'Security Acceptance'!$B:$B,0)),"")</f>
        <v>0</v>
      </c>
      <c r="L198" s="2">
        <f>IFERROR(INDEX('Security Acceptance'!$P:$P,MATCH($I198,'Security Acceptance'!$B:$B,0)),"")</f>
        <v>0</v>
      </c>
      <c r="M198" s="2">
        <f>IFERROR(INDEX('Security Acceptance'!$Q:$Q,MATCH($I198,'Security Acceptance'!$B:$B,0)),"")</f>
        <v>0</v>
      </c>
      <c r="N198" s="2" t="s">
        <v>1075</v>
      </c>
      <c r="O198" s="2"/>
    </row>
    <row r="199" spans="1:15" ht="15" customHeight="1" x14ac:dyDescent="0.25">
      <c r="A199" s="2" t="s">
        <v>877</v>
      </c>
      <c r="B199" s="2" t="s">
        <v>48</v>
      </c>
      <c r="C199" s="2" t="s">
        <v>871</v>
      </c>
      <c r="D199" s="2" t="s">
        <v>872</v>
      </c>
      <c r="E199" s="2" t="s">
        <v>98</v>
      </c>
      <c r="F199" s="2" t="s">
        <v>879</v>
      </c>
      <c r="G199" s="2" t="s">
        <v>1074</v>
      </c>
      <c r="H199" s="2" t="s">
        <v>43</v>
      </c>
      <c r="I199" s="2" t="s">
        <v>876</v>
      </c>
      <c r="J199" s="2" t="str">
        <f>IFERROR(INDEX('Security Acceptance'!$N:$N,MATCH($I199,'Security Acceptance'!$B:$B,0)),"")</f>
        <v>Not Built</v>
      </c>
      <c r="K199" s="7">
        <f>IFERROR(INDEX('Security Acceptance'!$O:$O,MATCH($I199,'Security Acceptance'!$B:$B,0)),"")</f>
        <v>0</v>
      </c>
      <c r="L199" s="2">
        <f>IFERROR(INDEX('Security Acceptance'!$P:$P,MATCH($I199,'Security Acceptance'!$B:$B,0)),"")</f>
        <v>0</v>
      </c>
      <c r="M199" s="2">
        <f>IFERROR(INDEX('Security Acceptance'!$Q:$Q,MATCH($I199,'Security Acceptance'!$B:$B,0)),"")</f>
        <v>0</v>
      </c>
      <c r="N199" s="2" t="s">
        <v>1075</v>
      </c>
      <c r="O199" s="2"/>
    </row>
    <row r="200" spans="1:15" ht="15" customHeight="1" x14ac:dyDescent="0.25">
      <c r="A200" s="2" t="s">
        <v>881</v>
      </c>
      <c r="B200" s="2" t="s">
        <v>48</v>
      </c>
      <c r="C200" s="2" t="s">
        <v>871</v>
      </c>
      <c r="D200" s="2" t="s">
        <v>872</v>
      </c>
      <c r="E200" s="2" t="s">
        <v>98</v>
      </c>
      <c r="F200" s="2" t="s">
        <v>883</v>
      </c>
      <c r="G200" s="2" t="s">
        <v>1074</v>
      </c>
      <c r="H200" s="2" t="s">
        <v>43</v>
      </c>
      <c r="I200" s="2" t="s">
        <v>880</v>
      </c>
      <c r="J200" s="2" t="str">
        <f>IFERROR(INDEX('Security Acceptance'!$N:$N,MATCH($I200,'Security Acceptance'!$B:$B,0)),"")</f>
        <v>Not Built</v>
      </c>
      <c r="K200" s="7">
        <f>IFERROR(INDEX('Security Acceptance'!$O:$O,MATCH($I200,'Security Acceptance'!$B:$B,0)),"")</f>
        <v>0</v>
      </c>
      <c r="L200" s="2">
        <f>IFERROR(INDEX('Security Acceptance'!$P:$P,MATCH($I200,'Security Acceptance'!$B:$B,0)),"")</f>
        <v>0</v>
      </c>
      <c r="M200" s="2">
        <f>IFERROR(INDEX('Security Acceptance'!$Q:$Q,MATCH($I200,'Security Acceptance'!$B:$B,0)),"")</f>
        <v>0</v>
      </c>
      <c r="N200" s="2" t="s">
        <v>1075</v>
      </c>
      <c r="O200" s="2"/>
    </row>
    <row r="201" spans="1:15" ht="45" customHeight="1" x14ac:dyDescent="0.25">
      <c r="A201" s="2" t="s">
        <v>885</v>
      </c>
      <c r="B201" s="2" t="s">
        <v>48</v>
      </c>
      <c r="C201" s="2" t="s">
        <v>871</v>
      </c>
      <c r="D201" s="2" t="s">
        <v>872</v>
      </c>
      <c r="E201" s="2" t="s">
        <v>98</v>
      </c>
      <c r="F201" s="2" t="s">
        <v>887</v>
      </c>
      <c r="G201" s="2" t="s">
        <v>1074</v>
      </c>
      <c r="H201" s="2" t="s">
        <v>43</v>
      </c>
      <c r="I201" s="2" t="s">
        <v>884</v>
      </c>
      <c r="J201" s="2" t="str">
        <f>IFERROR(INDEX('Security Acceptance'!$N:$N,MATCH($I201,'Security Acceptance'!$B:$B,0)),"")</f>
        <v>Not Built</v>
      </c>
      <c r="K201" s="7">
        <f>IFERROR(INDEX('Security Acceptance'!$O:$O,MATCH($I201,'Security Acceptance'!$B:$B,0)),"")</f>
        <v>0</v>
      </c>
      <c r="L201" s="2">
        <f>IFERROR(INDEX('Security Acceptance'!$P:$P,MATCH($I201,'Security Acceptance'!$B:$B,0)),"")</f>
        <v>0</v>
      </c>
      <c r="M201" s="2">
        <f>IFERROR(INDEX('Security Acceptance'!$Q:$Q,MATCH($I201,'Security Acceptance'!$B:$B,0)),"")</f>
        <v>0</v>
      </c>
      <c r="N201" s="2" t="s">
        <v>1075</v>
      </c>
      <c r="O201" s="2"/>
    </row>
    <row r="202" spans="1:15" ht="30" customHeight="1" x14ac:dyDescent="0.25">
      <c r="A202" s="2" t="s">
        <v>889</v>
      </c>
      <c r="B202" s="2" t="s">
        <v>48</v>
      </c>
      <c r="C202" s="2" t="s">
        <v>871</v>
      </c>
      <c r="D202" s="2" t="s">
        <v>872</v>
      </c>
      <c r="E202" s="2" t="s">
        <v>98</v>
      </c>
      <c r="F202" s="2" t="s">
        <v>891</v>
      </c>
      <c r="G202" s="2" t="s">
        <v>1074</v>
      </c>
      <c r="H202" s="2" t="s">
        <v>43</v>
      </c>
      <c r="I202" s="2" t="s">
        <v>888</v>
      </c>
      <c r="J202" s="2" t="str">
        <f>IFERROR(INDEX('Security Acceptance'!$N:$N,MATCH($I202,'Security Acceptance'!$B:$B,0)),"")</f>
        <v>Not Built</v>
      </c>
      <c r="K202" s="7">
        <f>IFERROR(INDEX('Security Acceptance'!$O:$O,MATCH($I202,'Security Acceptance'!$B:$B,0)),"")</f>
        <v>0</v>
      </c>
      <c r="L202" s="2">
        <f>IFERROR(INDEX('Security Acceptance'!$P:$P,MATCH($I202,'Security Acceptance'!$B:$B,0)),"")</f>
        <v>0</v>
      </c>
      <c r="M202" s="2">
        <f>IFERROR(INDEX('Security Acceptance'!$Q:$Q,MATCH($I202,'Security Acceptance'!$B:$B,0)),"")</f>
        <v>0</v>
      </c>
      <c r="N202" s="2" t="s">
        <v>1075</v>
      </c>
      <c r="O202" s="2"/>
    </row>
    <row r="203" spans="1:15" ht="30" customHeight="1" x14ac:dyDescent="0.25">
      <c r="A203" s="2" t="s">
        <v>893</v>
      </c>
      <c r="B203" s="2" t="s">
        <v>48</v>
      </c>
      <c r="C203" s="2" t="s">
        <v>871</v>
      </c>
      <c r="D203" s="2" t="s">
        <v>872</v>
      </c>
      <c r="E203" s="2" t="s">
        <v>98</v>
      </c>
      <c r="F203" s="2" t="s">
        <v>895</v>
      </c>
      <c r="G203" s="2" t="s">
        <v>1074</v>
      </c>
      <c r="H203" s="2" t="s">
        <v>43</v>
      </c>
      <c r="I203" s="2" t="s">
        <v>892</v>
      </c>
      <c r="J203" s="2" t="str">
        <f>IFERROR(INDEX('Security Acceptance'!$N:$N,MATCH($I203,'Security Acceptance'!$B:$B,0)),"")</f>
        <v>Pass</v>
      </c>
      <c r="K203" s="7">
        <f>IFERROR(INDEX('Security Acceptance'!$O:$O,MATCH($I203,'Security Acceptance'!$B:$B,0)),"")</f>
        <v>46323</v>
      </c>
      <c r="L203" s="2">
        <f>IFERROR(INDEX('Security Acceptance'!$P:$P,MATCH($I203,'Security Acceptance'!$B:$B,0)),"")</f>
        <v>0</v>
      </c>
      <c r="M203" s="2" t="str">
        <f>IFERROR(INDEX('Security Acceptance'!$Q:$Q,MATCH($I203,'Security Acceptance'!$B:$B,0)),"")</f>
        <v>spec/meals/README.md#phase-0a-technical-evidence; web release validation: spec/meals/README.md#web-release-validation</v>
      </c>
      <c r="N203" s="2" t="s">
        <v>1075</v>
      </c>
      <c r="O203" s="2"/>
    </row>
    <row r="204" spans="1:15" ht="45" customHeight="1" x14ac:dyDescent="0.25">
      <c r="A204" s="2" t="s">
        <v>897</v>
      </c>
      <c r="B204" s="2" t="s">
        <v>48</v>
      </c>
      <c r="C204" s="2" t="s">
        <v>871</v>
      </c>
      <c r="D204" s="2" t="s">
        <v>872</v>
      </c>
      <c r="E204" s="2" t="s">
        <v>98</v>
      </c>
      <c r="F204" s="2" t="s">
        <v>899</v>
      </c>
      <c r="G204" s="2" t="s">
        <v>1074</v>
      </c>
      <c r="H204" s="2" t="s">
        <v>43</v>
      </c>
      <c r="I204" s="2" t="s">
        <v>896</v>
      </c>
      <c r="J204" s="2" t="str">
        <f>IFERROR(INDEX('Security Acceptance'!$N:$N,MATCH($I204,'Security Acceptance'!$B:$B,0)),"")</f>
        <v>Not Built</v>
      </c>
      <c r="K204" s="7">
        <f>IFERROR(INDEX('Security Acceptance'!$O:$O,MATCH($I204,'Security Acceptance'!$B:$B,0)),"")</f>
        <v>0</v>
      </c>
      <c r="L204" s="2">
        <f>IFERROR(INDEX('Security Acceptance'!$P:$P,MATCH($I204,'Security Acceptance'!$B:$B,0)),"")</f>
        <v>0</v>
      </c>
      <c r="M204" s="2">
        <f>IFERROR(INDEX('Security Acceptance'!$Q:$Q,MATCH($I204,'Security Acceptance'!$B:$B,0)),"")</f>
        <v>0</v>
      </c>
      <c r="N204" s="2" t="s">
        <v>1075</v>
      </c>
      <c r="O204" s="2"/>
    </row>
    <row r="205" spans="1:15" ht="30" customHeight="1" x14ac:dyDescent="0.25">
      <c r="A205" s="2" t="s">
        <v>901</v>
      </c>
      <c r="B205" s="2" t="s">
        <v>48</v>
      </c>
      <c r="C205" s="2" t="s">
        <v>871</v>
      </c>
      <c r="D205" s="2" t="s">
        <v>872</v>
      </c>
      <c r="E205" s="2" t="s">
        <v>98</v>
      </c>
      <c r="F205" s="2" t="s">
        <v>903</v>
      </c>
      <c r="G205" s="2" t="s">
        <v>1074</v>
      </c>
      <c r="H205" s="2" t="s">
        <v>43</v>
      </c>
      <c r="I205" s="2" t="s">
        <v>900</v>
      </c>
      <c r="J205" s="2" t="str">
        <f>IFERROR(INDEX('Security Acceptance'!$N:$N,MATCH($I205,'Security Acceptance'!$B:$B,0)),"")</f>
        <v>Pass</v>
      </c>
      <c r="K205" s="7" t="str">
        <f>IFERROR(INDEX('Security Acceptance'!$O:$O,MATCH($I205,'Security Acceptance'!$B:$B,0)),"")</f>
        <v>2026-10-28</v>
      </c>
      <c r="L205" s="2">
        <f>IFERROR(INDEX('Security Acceptance'!$P:$P,MATCH($I205,'Security Acceptance'!$B:$B,0)),"")</f>
        <v>0</v>
      </c>
      <c r="M205" s="2" t="str">
        <f>IFERROR(INDEX('Security Acceptance'!$Q:$Q,MATCH($I205,'Security Acceptance'!$B:$B,0)),"")</f>
        <v>P0B-DB-001; package 0d30359ab5cdd4aa3577c33823de1bbc80a3d4f2; spec/meals/Phase 0B Recipe Persistence Design.md section 28; meals-db-final-manifest.json SHA256 4cbbc3eac24c13860d39ee3a0d8c6ae79c638cc5967d5274d1e7ea219091f8da; complete evidence in session b7458d86-6190-4718-8779-7c2b79a30630/files</v>
      </c>
      <c r="N205" s="2" t="s">
        <v>1075</v>
      </c>
      <c r="O205" s="2"/>
    </row>
    <row r="206" spans="1:15" ht="30" customHeight="1" x14ac:dyDescent="0.25">
      <c r="A206" s="2" t="s">
        <v>905</v>
      </c>
      <c r="B206" s="2" t="s">
        <v>48</v>
      </c>
      <c r="C206" s="2" t="s">
        <v>871</v>
      </c>
      <c r="D206" s="2" t="s">
        <v>872</v>
      </c>
      <c r="E206" s="2" t="s">
        <v>98</v>
      </c>
      <c r="F206" s="2" t="s">
        <v>907</v>
      </c>
      <c r="G206" s="2" t="s">
        <v>1074</v>
      </c>
      <c r="H206" s="2" t="s">
        <v>43</v>
      </c>
      <c r="I206" s="2" t="s">
        <v>904</v>
      </c>
      <c r="J206" s="2" t="str">
        <f>IFERROR(INDEX('Security Acceptance'!$N:$N,MATCH($I206,'Security Acceptance'!$B:$B,0)),"")</f>
        <v>Pass</v>
      </c>
      <c r="K206" s="7">
        <f>IFERROR(INDEX('Security Acceptance'!$O:$O,MATCH($I206,'Security Acceptance'!$B:$B,0)),"")</f>
        <v>46323</v>
      </c>
      <c r="L206" s="2">
        <f>IFERROR(INDEX('Security Acceptance'!$P:$P,MATCH($I206,'Security Acceptance'!$B:$B,0)),"")</f>
        <v>0</v>
      </c>
      <c r="M206" s="2" t="str">
        <f>IFERROR(INDEX('Security Acceptance'!$Q:$Q,MATCH($I206,'Security Acceptance'!$B:$B,0)),"")</f>
        <v>spec/meals/README.md#phase-0a-technical-evidence; web release validation: spec/meals/README.md#web-release-validation</v>
      </c>
      <c r="N206" s="2" t="s">
        <v>1075</v>
      </c>
      <c r="O206" s="2"/>
    </row>
    <row r="207" spans="1:15" ht="30" customHeight="1" x14ac:dyDescent="0.25">
      <c r="A207" s="2" t="s">
        <v>909</v>
      </c>
      <c r="B207" s="2" t="s">
        <v>48</v>
      </c>
      <c r="C207" s="2" t="s">
        <v>871</v>
      </c>
      <c r="D207" s="2" t="s">
        <v>872</v>
      </c>
      <c r="E207" s="2" t="s">
        <v>98</v>
      </c>
      <c r="F207" s="2" t="s">
        <v>911</v>
      </c>
      <c r="G207" s="2" t="s">
        <v>1074</v>
      </c>
      <c r="H207" s="2" t="s">
        <v>43</v>
      </c>
      <c r="I207" s="2" t="s">
        <v>908</v>
      </c>
      <c r="J207" s="2" t="str">
        <f>IFERROR(INDEX('Security Acceptance'!$N:$N,MATCH($I207,'Security Acceptance'!$B:$B,0)),"")</f>
        <v>Not Built</v>
      </c>
      <c r="K207" s="7">
        <f>IFERROR(INDEX('Security Acceptance'!$O:$O,MATCH($I207,'Security Acceptance'!$B:$B,0)),"")</f>
        <v>0</v>
      </c>
      <c r="L207" s="2">
        <f>IFERROR(INDEX('Security Acceptance'!$P:$P,MATCH($I207,'Security Acceptance'!$B:$B,0)),"")</f>
        <v>0</v>
      </c>
      <c r="M207" s="2">
        <f>IFERROR(INDEX('Security Acceptance'!$Q:$Q,MATCH($I207,'Security Acceptance'!$B:$B,0)),"")</f>
        <v>0</v>
      </c>
      <c r="N207" s="2" t="s">
        <v>1075</v>
      </c>
      <c r="O207" s="2"/>
    </row>
    <row r="208" spans="1:15" ht="30" customHeight="1" x14ac:dyDescent="0.25">
      <c r="A208" s="2" t="s">
        <v>1088</v>
      </c>
      <c r="B208" s="2" t="s">
        <v>56</v>
      </c>
      <c r="C208" s="2" t="s">
        <v>78</v>
      </c>
      <c r="D208" s="2" t="s">
        <v>1089</v>
      </c>
      <c r="E208" s="2" t="s">
        <v>98</v>
      </c>
      <c r="F208" s="2" t="s">
        <v>1090</v>
      </c>
      <c r="G208" s="2" t="s">
        <v>1085</v>
      </c>
      <c r="H208" s="2" t="s">
        <v>1086</v>
      </c>
      <c r="I208" s="2"/>
      <c r="J208" s="2" t="s">
        <v>16</v>
      </c>
      <c r="K208" s="7"/>
      <c r="L208" s="2"/>
      <c r="M208" s="2"/>
      <c r="N208" s="2" t="s">
        <v>16</v>
      </c>
      <c r="O208" s="2"/>
    </row>
    <row r="209" spans="1:15" ht="30" customHeight="1" x14ac:dyDescent="0.25">
      <c r="A209" s="2" t="s">
        <v>1091</v>
      </c>
      <c r="B209" s="2" t="s">
        <v>56</v>
      </c>
      <c r="C209" s="2" t="s">
        <v>78</v>
      </c>
      <c r="D209" s="2" t="s">
        <v>1089</v>
      </c>
      <c r="E209" s="2" t="s">
        <v>98</v>
      </c>
      <c r="F209" s="2" t="s">
        <v>1092</v>
      </c>
      <c r="G209" s="2" t="s">
        <v>1085</v>
      </c>
      <c r="H209" s="2" t="s">
        <v>1086</v>
      </c>
      <c r="I209" s="2"/>
      <c r="J209" s="2" t="s">
        <v>16</v>
      </c>
      <c r="K209" s="7"/>
      <c r="L209" s="2"/>
      <c r="M209" s="2"/>
      <c r="N209" s="2" t="s">
        <v>16</v>
      </c>
      <c r="O209" s="2"/>
    </row>
    <row r="210" spans="1:15" ht="30" customHeight="1" x14ac:dyDescent="0.25">
      <c r="A210" s="2" t="s">
        <v>1093</v>
      </c>
      <c r="B210" s="2" t="s">
        <v>56</v>
      </c>
      <c r="C210" s="2" t="s">
        <v>78</v>
      </c>
      <c r="D210" s="2" t="s">
        <v>1089</v>
      </c>
      <c r="E210" s="2" t="s">
        <v>98</v>
      </c>
      <c r="F210" s="2" t="s">
        <v>1094</v>
      </c>
      <c r="G210" s="2" t="s">
        <v>1085</v>
      </c>
      <c r="H210" s="2" t="s">
        <v>1086</v>
      </c>
      <c r="I210" s="2"/>
      <c r="J210" s="2" t="s">
        <v>16</v>
      </c>
      <c r="K210" s="7"/>
      <c r="L210" s="2"/>
      <c r="M210" s="2"/>
      <c r="N210" s="2" t="s">
        <v>16</v>
      </c>
      <c r="O210" s="2"/>
    </row>
    <row r="211" spans="1:15" ht="30" customHeight="1" x14ac:dyDescent="0.25">
      <c r="A211" s="2" t="s">
        <v>1095</v>
      </c>
      <c r="B211" s="2" t="s">
        <v>56</v>
      </c>
      <c r="C211" s="2" t="s">
        <v>78</v>
      </c>
      <c r="D211" s="2" t="s">
        <v>1089</v>
      </c>
      <c r="E211" s="2" t="s">
        <v>98</v>
      </c>
      <c r="F211" s="2" t="s">
        <v>1096</v>
      </c>
      <c r="G211" s="2" t="s">
        <v>1085</v>
      </c>
      <c r="H211" s="2" t="s">
        <v>1086</v>
      </c>
      <c r="I211" s="2"/>
      <c r="J211" s="2" t="s">
        <v>16</v>
      </c>
      <c r="K211" s="7"/>
      <c r="L211" s="2"/>
      <c r="M211" s="2"/>
      <c r="N211" s="2" t="s">
        <v>16</v>
      </c>
      <c r="O211" s="2"/>
    </row>
    <row r="212" spans="1:15" ht="30" customHeight="1" x14ac:dyDescent="0.25">
      <c r="A212" s="2" t="s">
        <v>1097</v>
      </c>
      <c r="B212" s="2" t="s">
        <v>56</v>
      </c>
      <c r="C212" s="2" t="s">
        <v>78</v>
      </c>
      <c r="D212" s="2" t="s">
        <v>1089</v>
      </c>
      <c r="E212" s="2" t="s">
        <v>98</v>
      </c>
      <c r="F212" s="2" t="s">
        <v>1098</v>
      </c>
      <c r="G212" s="2" t="s">
        <v>1085</v>
      </c>
      <c r="H212" s="2" t="s">
        <v>1086</v>
      </c>
      <c r="I212" s="2"/>
      <c r="J212" s="2" t="s">
        <v>16</v>
      </c>
      <c r="K212" s="7"/>
      <c r="L212" s="2"/>
      <c r="M212" s="2"/>
      <c r="N212" s="2" t="s">
        <v>16</v>
      </c>
      <c r="O212" s="2"/>
    </row>
    <row r="213" spans="1:15" ht="45" customHeight="1" x14ac:dyDescent="0.25">
      <c r="A213" s="2" t="s">
        <v>1099</v>
      </c>
      <c r="B213" s="2" t="s">
        <v>56</v>
      </c>
      <c r="C213" s="2" t="s">
        <v>78</v>
      </c>
      <c r="D213" s="2" t="s">
        <v>1100</v>
      </c>
      <c r="E213" s="2" t="s">
        <v>98</v>
      </c>
      <c r="F213" s="2" t="s">
        <v>1101</v>
      </c>
      <c r="G213" s="2" t="s">
        <v>1085</v>
      </c>
      <c r="H213" s="2" t="s">
        <v>1086</v>
      </c>
      <c r="I213" s="2"/>
      <c r="J213" s="2" t="s">
        <v>16</v>
      </c>
      <c r="K213" s="7"/>
      <c r="L213" s="2"/>
      <c r="M213" s="2"/>
      <c r="N213" s="2" t="s">
        <v>16</v>
      </c>
      <c r="O213" s="2"/>
    </row>
    <row r="214" spans="1:15" ht="30" customHeight="1" x14ac:dyDescent="0.25">
      <c r="A214" s="2" t="s">
        <v>1102</v>
      </c>
      <c r="B214" s="2" t="s">
        <v>56</v>
      </c>
      <c r="C214" s="2" t="s">
        <v>78</v>
      </c>
      <c r="D214" s="2" t="s">
        <v>1100</v>
      </c>
      <c r="E214" s="2" t="s">
        <v>98</v>
      </c>
      <c r="F214" s="2" t="s">
        <v>1103</v>
      </c>
      <c r="G214" s="2" t="s">
        <v>1085</v>
      </c>
      <c r="H214" s="2" t="s">
        <v>1086</v>
      </c>
      <c r="I214" s="2"/>
      <c r="J214" s="2" t="s">
        <v>16</v>
      </c>
      <c r="K214" s="7"/>
      <c r="L214" s="2"/>
      <c r="M214" s="2"/>
      <c r="N214" s="2" t="s">
        <v>16</v>
      </c>
      <c r="O214" s="2"/>
    </row>
    <row r="215" spans="1:15" ht="30" customHeight="1" x14ac:dyDescent="0.25">
      <c r="A215" s="2" t="s">
        <v>1104</v>
      </c>
      <c r="B215" s="2" t="s">
        <v>56</v>
      </c>
      <c r="C215" s="2" t="s">
        <v>78</v>
      </c>
      <c r="D215" s="2" t="s">
        <v>1100</v>
      </c>
      <c r="E215" s="2" t="s">
        <v>98</v>
      </c>
      <c r="F215" s="2" t="s">
        <v>1105</v>
      </c>
      <c r="G215" s="2" t="s">
        <v>1085</v>
      </c>
      <c r="H215" s="2" t="s">
        <v>1086</v>
      </c>
      <c r="I215" s="2"/>
      <c r="J215" s="2" t="s">
        <v>16</v>
      </c>
      <c r="K215" s="7"/>
      <c r="L215" s="2"/>
      <c r="M215" s="2"/>
      <c r="N215" s="2" t="s">
        <v>16</v>
      </c>
      <c r="O215" s="2"/>
    </row>
    <row r="216" spans="1:15" ht="45" customHeight="1" x14ac:dyDescent="0.25">
      <c r="A216" s="2" t="s">
        <v>1106</v>
      </c>
      <c r="B216" s="2" t="s">
        <v>56</v>
      </c>
      <c r="C216" s="2" t="s">
        <v>78</v>
      </c>
      <c r="D216" s="2" t="s">
        <v>1089</v>
      </c>
      <c r="E216" s="2" t="s">
        <v>98</v>
      </c>
      <c r="F216" s="2" t="s">
        <v>1107</v>
      </c>
      <c r="G216" s="2" t="s">
        <v>1085</v>
      </c>
      <c r="H216" s="2" t="s">
        <v>1086</v>
      </c>
      <c r="I216" s="2"/>
      <c r="J216" s="2" t="s">
        <v>16</v>
      </c>
      <c r="K216" s="7"/>
      <c r="L216" s="2"/>
      <c r="M216" s="2"/>
      <c r="N216" s="2" t="s">
        <v>16</v>
      </c>
      <c r="O216" s="2"/>
    </row>
    <row r="217" spans="1:15" ht="30" customHeight="1" x14ac:dyDescent="0.25">
      <c r="A217" s="2" t="s">
        <v>1108</v>
      </c>
      <c r="B217" s="2" t="s">
        <v>56</v>
      </c>
      <c r="C217" s="2" t="s">
        <v>78</v>
      </c>
      <c r="D217" s="2" t="s">
        <v>1089</v>
      </c>
      <c r="E217" s="2" t="s">
        <v>98</v>
      </c>
      <c r="F217" s="2" t="s">
        <v>1109</v>
      </c>
      <c r="G217" s="2" t="s">
        <v>1085</v>
      </c>
      <c r="H217" s="2" t="s">
        <v>1086</v>
      </c>
      <c r="I217" s="2"/>
      <c r="J217" s="2" t="s">
        <v>16</v>
      </c>
      <c r="K217" s="7"/>
      <c r="L217" s="2"/>
      <c r="M217" s="2"/>
      <c r="N217" s="2" t="s">
        <v>16</v>
      </c>
      <c r="O217" s="2"/>
    </row>
    <row r="218" spans="1:15" ht="30" customHeight="1" x14ac:dyDescent="0.25">
      <c r="A218" s="2" t="s">
        <v>133</v>
      </c>
      <c r="B218" s="2" t="s">
        <v>50</v>
      </c>
      <c r="C218" s="2" t="s">
        <v>134</v>
      </c>
      <c r="D218" s="2" t="s">
        <v>97</v>
      </c>
      <c r="E218" s="2" t="s">
        <v>141</v>
      </c>
      <c r="F218" s="2" t="s">
        <v>139</v>
      </c>
      <c r="G218" s="2" t="s">
        <v>1082</v>
      </c>
      <c r="H218" s="2" t="s">
        <v>41</v>
      </c>
      <c r="I218" s="2" t="s">
        <v>140</v>
      </c>
      <c r="J218" s="2" t="str">
        <f>IFERROR(INDEX('Functional Acceptance'!$L:$L,MATCH($I218,'Functional Acceptance'!$B:$B,0)),"")</f>
        <v>Not Built</v>
      </c>
      <c r="K218" s="7">
        <f>IFERROR(INDEX('Functional Acceptance'!$M:$M,MATCH($I218,'Functional Acceptance'!$B:$B,0)),"")</f>
        <v>0</v>
      </c>
      <c r="L218" s="2">
        <f>IFERROR(INDEX('Functional Acceptance'!$N:$N,MATCH($I218,'Functional Acceptance'!$B:$B,0)),"")</f>
        <v>0</v>
      </c>
      <c r="M218" s="2">
        <f>IFERROR(INDEX('Functional Acceptance'!$O:$O,MATCH($I218,'Functional Acceptance'!$B:$B,0)),"")</f>
        <v>0</v>
      </c>
      <c r="N218" s="2" t="s">
        <v>1075</v>
      </c>
      <c r="O218" s="2"/>
    </row>
    <row r="219" spans="1:15" ht="30" customHeight="1" x14ac:dyDescent="0.25">
      <c r="A219" s="2" t="s">
        <v>186</v>
      </c>
      <c r="B219" s="2" t="s">
        <v>50</v>
      </c>
      <c r="C219" s="2" t="s">
        <v>134</v>
      </c>
      <c r="D219" s="2" t="s">
        <v>109</v>
      </c>
      <c r="E219" s="2" t="s">
        <v>141</v>
      </c>
      <c r="F219" s="2" t="s">
        <v>189</v>
      </c>
      <c r="G219" s="2" t="s">
        <v>1082</v>
      </c>
      <c r="H219" s="2" t="s">
        <v>41</v>
      </c>
      <c r="I219" s="2" t="s">
        <v>190</v>
      </c>
      <c r="J219" s="2" t="str">
        <f>IFERROR(INDEX('Functional Acceptance'!$L:$L,MATCH($I219,'Functional Acceptance'!$B:$B,0)),"")</f>
        <v>Not Built</v>
      </c>
      <c r="K219" s="7">
        <f>IFERROR(INDEX('Functional Acceptance'!$M:$M,MATCH($I219,'Functional Acceptance'!$B:$B,0)),"")</f>
        <v>0</v>
      </c>
      <c r="L219" s="2">
        <f>IFERROR(INDEX('Functional Acceptance'!$N:$N,MATCH($I219,'Functional Acceptance'!$B:$B,0)),"")</f>
        <v>0</v>
      </c>
      <c r="M219" s="2">
        <f>IFERROR(INDEX('Functional Acceptance'!$O:$O,MATCH($I219,'Functional Acceptance'!$B:$B,0)),"")</f>
        <v>0</v>
      </c>
      <c r="N219" s="2" t="s">
        <v>1075</v>
      </c>
      <c r="O219" s="2"/>
    </row>
    <row r="220" spans="1:15" ht="15" customHeight="1" x14ac:dyDescent="0.25">
      <c r="A220" s="2" t="s">
        <v>246</v>
      </c>
      <c r="B220" s="2" t="s">
        <v>50</v>
      </c>
      <c r="C220" s="2" t="s">
        <v>247</v>
      </c>
      <c r="D220" s="2" t="s">
        <v>97</v>
      </c>
      <c r="E220" s="2" t="s">
        <v>141</v>
      </c>
      <c r="F220" s="2" t="s">
        <v>249</v>
      </c>
      <c r="G220" s="2" t="s">
        <v>1082</v>
      </c>
      <c r="H220" s="2" t="s">
        <v>41</v>
      </c>
      <c r="I220" s="2" t="s">
        <v>250</v>
      </c>
      <c r="J220" s="2" t="str">
        <f>IFERROR(INDEX('Functional Acceptance'!$L:$L,MATCH($I220,'Functional Acceptance'!$B:$B,0)),"")</f>
        <v>Not Built</v>
      </c>
      <c r="K220" s="7">
        <f>IFERROR(INDEX('Functional Acceptance'!$M:$M,MATCH($I220,'Functional Acceptance'!$B:$B,0)),"")</f>
        <v>0</v>
      </c>
      <c r="L220" s="2">
        <f>IFERROR(INDEX('Functional Acceptance'!$N:$N,MATCH($I220,'Functional Acceptance'!$B:$B,0)),"")</f>
        <v>0</v>
      </c>
      <c r="M220" s="2">
        <f>IFERROR(INDEX('Functional Acceptance'!$O:$O,MATCH($I220,'Functional Acceptance'!$B:$B,0)),"")</f>
        <v>0</v>
      </c>
      <c r="N220" s="2" t="s">
        <v>1075</v>
      </c>
      <c r="O220" s="2"/>
    </row>
    <row r="221" spans="1:15" ht="15" customHeight="1" x14ac:dyDescent="0.25">
      <c r="A221" s="2" t="s">
        <v>363</v>
      </c>
      <c r="B221" s="2" t="s">
        <v>50</v>
      </c>
      <c r="C221" s="2" t="s">
        <v>297</v>
      </c>
      <c r="D221" s="2" t="s">
        <v>109</v>
      </c>
      <c r="E221" s="2" t="s">
        <v>141</v>
      </c>
      <c r="F221" s="2" t="s">
        <v>365</v>
      </c>
      <c r="G221" s="2" t="s">
        <v>1082</v>
      </c>
      <c r="H221" s="2" t="s">
        <v>41</v>
      </c>
      <c r="I221" s="2" t="s">
        <v>366</v>
      </c>
      <c r="J221" s="2" t="str">
        <f>IFERROR(INDEX('Functional Acceptance'!$L:$L,MATCH($I221,'Functional Acceptance'!$B:$B,0)),"")</f>
        <v>Not Built</v>
      </c>
      <c r="K221" s="7">
        <f>IFERROR(INDEX('Functional Acceptance'!$M:$M,MATCH($I221,'Functional Acceptance'!$B:$B,0)),"")</f>
        <v>0</v>
      </c>
      <c r="L221" s="2">
        <f>IFERROR(INDEX('Functional Acceptance'!$N:$N,MATCH($I221,'Functional Acceptance'!$B:$B,0)),"")</f>
        <v>0</v>
      </c>
      <c r="M221" s="2">
        <f>IFERROR(INDEX('Functional Acceptance'!$O:$O,MATCH($I221,'Functional Acceptance'!$B:$B,0)),"")</f>
        <v>0</v>
      </c>
      <c r="N221" s="2" t="s">
        <v>1075</v>
      </c>
      <c r="O221" s="2"/>
    </row>
    <row r="222" spans="1:15" ht="30" customHeight="1" x14ac:dyDescent="0.25">
      <c r="A222" s="2" t="s">
        <v>766</v>
      </c>
      <c r="B222" s="2" t="s">
        <v>48</v>
      </c>
      <c r="C222" s="2" t="s">
        <v>767</v>
      </c>
      <c r="D222" s="2" t="s">
        <v>768</v>
      </c>
      <c r="E222" s="2" t="s">
        <v>141</v>
      </c>
      <c r="F222" s="2" t="s">
        <v>770</v>
      </c>
      <c r="G222" s="2" t="s">
        <v>1082</v>
      </c>
      <c r="H222" s="2" t="s">
        <v>41</v>
      </c>
      <c r="I222" s="2" t="s">
        <v>771</v>
      </c>
      <c r="J222" s="2" t="str">
        <f>IFERROR(INDEX('Functional Acceptance'!$L:$L,MATCH($I222,'Functional Acceptance'!$B:$B,0)),"")</f>
        <v>Pass</v>
      </c>
      <c r="K222" s="7">
        <f>IFERROR(INDEX('Functional Acceptance'!$M:$M,MATCH($I222,'Functional Acceptance'!$B:$B,0)),"")</f>
        <v>46323</v>
      </c>
      <c r="L222" s="2">
        <f>IFERROR(INDEX('Functional Acceptance'!$N:$N,MATCH($I222,'Functional Acceptance'!$B:$B,0)),"")</f>
        <v>0</v>
      </c>
      <c r="M222" s="2" t="str">
        <f>IFERROR(INDEX('Functional Acceptance'!$O:$O,MATCH($I222,'Functional Acceptance'!$B:$B,0)),"")</f>
        <v>spec/meals/README.md#phase-0a-technical-evidence; P0-UAT-001: designated owner reported live Life Manager UAT PASS on 2026-10-28; release 8298e2e0797ddff7d2d53cc058fa41fb407ac0ab; recorded by Copilot from owner report, not automated authenticated verification</v>
      </c>
      <c r="N222" s="2" t="s">
        <v>1075</v>
      </c>
      <c r="O222" s="2"/>
    </row>
    <row r="223" spans="1:15" ht="30" customHeight="1" x14ac:dyDescent="0.25">
      <c r="A223" s="2" t="s">
        <v>794</v>
      </c>
      <c r="B223" s="2" t="s">
        <v>50</v>
      </c>
      <c r="C223" s="2" t="s">
        <v>782</v>
      </c>
      <c r="D223" s="2" t="s">
        <v>234</v>
      </c>
      <c r="E223" s="2" t="s">
        <v>141</v>
      </c>
      <c r="F223" s="2" t="s">
        <v>796</v>
      </c>
      <c r="G223" s="2" t="s">
        <v>1082</v>
      </c>
      <c r="H223" s="2" t="s">
        <v>41</v>
      </c>
      <c r="I223" s="2" t="s">
        <v>797</v>
      </c>
      <c r="J223" s="2" t="str">
        <f>IFERROR(INDEX('Functional Acceptance'!$L:$L,MATCH($I223,'Functional Acceptance'!$B:$B,0)),"")</f>
        <v>Not Built</v>
      </c>
      <c r="K223" s="7">
        <f>IFERROR(INDEX('Functional Acceptance'!$M:$M,MATCH($I223,'Functional Acceptance'!$B:$B,0)),"")</f>
        <v>0</v>
      </c>
      <c r="L223" s="2">
        <f>IFERROR(INDEX('Functional Acceptance'!$N:$N,MATCH($I223,'Functional Acceptance'!$B:$B,0)),"")</f>
        <v>0</v>
      </c>
      <c r="M223" s="2">
        <f>IFERROR(INDEX('Functional Acceptance'!$O:$O,MATCH($I223,'Functional Acceptance'!$B:$B,0)),"")</f>
        <v>0</v>
      </c>
      <c r="N223" s="2" t="s">
        <v>1075</v>
      </c>
      <c r="O223" s="2"/>
    </row>
  </sheetData>
  <pageMargins left="0.75" right="0.75" top="1" bottom="1" header="0.5" footer="0.5"/>
  <pageSetup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Summary</vt:lpstr>
      <vt:lpstr>Functional Acceptance</vt:lpstr>
      <vt:lpstr>Security Acceptance</vt:lpstr>
      <vt:lpstr>Database Verification</vt:lpstr>
      <vt:lpstr>End-to-End Tests</vt:lpstr>
      <vt:lpstr>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M365 Copilot</dc:creator>
  <cp:lastModifiedBy>Wes Cooper</cp:lastModifiedBy>
  <dcterms:created xsi:type="dcterms:W3CDTF">2026-10-28T22:47:38Z</dcterms:created>
  <dcterms:modified xsi:type="dcterms:W3CDTF">2026-10-29T03:32:10Z</dcterms:modified>
</cp:coreProperties>
</file>